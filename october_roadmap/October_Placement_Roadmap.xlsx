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Day Map" sheetId="2" state="visible" r:id="rId4"/>
    <sheet name="DSA Problems" sheetId="3" state="visible" r:id="rId5"/>
    <sheet name="Question Bank" sheetId="4" state="visible" r:id="rId6"/>
    <sheet name="Scorecard" sheetId="5" state="visible" r:id="rId7"/>
    <sheet name="Plan Notes" sheetId="6" state="visible" r:id="rId8"/>
  </sheets>
  <definedNames>
    <definedName function="false" hidden="true" localSheetId="1" name="_xlnm._FilterDatabase" vbProcedure="false">'Day Map'!$A$1:$N$28</definedName>
    <definedName function="false" hidden="true" localSheetId="2" name="_xlnm._FilterDatabase" vbProcedure="false">'DSA Problems'!$A$1:$L$55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<sst xmlns="http://schemas.openxmlformats.org/spreadsheetml/2006/main" count="737" uniqueCount="374">
  <si>
    <t xml:space="preserve">October 5-31 Campus Placement Roadmap</t>
  </si>
  <si>
    <t xml:space="preserve">27 days  |  exactly 2 DSA problems per day (54 total, Python)  |  CSE core first</t>
  </si>
  <si>
    <t xml:space="preserve">Start date (Day 1)</t>
  </si>
  <si>
    <t xml:space="preserve">Input: all dates in the workbook are calculated from this cell</t>
  </si>
  <si>
    <t xml:space="preserve">Legend</t>
  </si>
  <si>
    <t xml:space="preserve">Blue text = cells you edit. Black = formulas. Use the dropdowns in the Status / Yes-No columns.</t>
  </si>
  <si>
    <t xml:space="preserve">OCTOBER PROGRESS</t>
  </si>
  <si>
    <t xml:space="preserve">Done</t>
  </si>
  <si>
    <t xml:space="preserve">Target</t>
  </si>
  <si>
    <t xml:space="preserve">% complete</t>
  </si>
  <si>
    <t xml:space="preserve">DSA problems</t>
  </si>
  <si>
    <t xml:space="preserve">Days completed</t>
  </si>
  <si>
    <t xml:space="preserve">DBMS questions</t>
  </si>
  <si>
    <t xml:space="preserve">SQL questions</t>
  </si>
  <si>
    <t xml:space="preserve">OS questions</t>
  </si>
  <si>
    <t xml:space="preserve">CN questions</t>
  </si>
  <si>
    <t xml:space="preserve">OOP questions</t>
  </si>
  <si>
    <t xml:space="preserve">COA questions</t>
  </si>
  <si>
    <t xml:space="preserve">Software Engineering questions</t>
  </si>
  <si>
    <t xml:space="preserve">Python questions</t>
  </si>
  <si>
    <t xml:space="preserve">Backend questions</t>
  </si>
  <si>
    <t xml:space="preserve">Question targets: DBMS 30, OS 30, CN 30, OOP 25, COA 15, SE 15, SQL 25, Python 20, Backend 20 (from your brief). Enter questions you have answered in the Question Bank sheet.</t>
  </si>
  <si>
    <t xml:space="preserve">Redis, Kafka, Kubernetes, Jenkins, microservices, distributed systems: NOVEMBER - DO NOT STUDY DEEPLY YET.</t>
  </si>
  <si>
    <t xml:space="preserve">Day</t>
  </si>
  <si>
    <t xml:space="preserve">Date</t>
  </si>
  <si>
    <t xml:space="preserve">Weekday</t>
  </si>
  <si>
    <t xml:space="preserve">Week</t>
  </si>
  <si>
    <t xml:space="preserve">Main subject</t>
  </si>
  <si>
    <t xml:space="preserve">CSE core / main topics</t>
  </si>
  <si>
    <t xml:space="preserve">Side track (SQL, Python, tools, backend)</t>
  </si>
  <si>
    <t xml:space="preserve">DSA pattern</t>
  </si>
  <si>
    <t xml:space="preserve">DSA done (of 2)</t>
  </si>
  <si>
    <t xml:space="preserve">CSE core done?</t>
  </si>
  <si>
    <t xml:space="preserve">Interview Qs reviewed?</t>
  </si>
  <si>
    <t xml:space="preserve">Practical done?</t>
  </si>
  <si>
    <t xml:space="preserve">Day status</t>
  </si>
  <si>
    <t xml:space="preserve">Notes</t>
  </si>
  <si>
    <t xml:space="preserve">DBMS</t>
  </si>
  <si>
    <t xml:space="preserve">DBMS basics: DBMS vs RDBMS, database vs table, schema, instance, data independence. Keys: primary, foreign, candidate, super, composite</t>
  </si>
  <si>
    <t xml:space="preserve">SQL: set up PostgreSQL, SELECT / WHERE / ORDER BY. Python: list, tuple, dict, set</t>
  </si>
  <si>
    <t xml:space="preserve">Arrays + Hashing</t>
  </si>
  <si>
    <t xml:space="preserve">No</t>
  </si>
  <si>
    <t xml:space="preserve">Constraints: NOT NULL, UNIQUE, PRIMARY KEY, FOREIGN KEY, CHECK, DEFAULT. DDL vs DML</t>
  </si>
  <si>
    <t xml:space="preserve">SQL: CREATE TABLE with constraints. Python: mutable vs immutable</t>
  </si>
  <si>
    <t xml:space="preserve">Functional dependency, 1NF, 2NF, 3NF, BCNF basics, denormalization</t>
  </si>
  <si>
    <t xml:space="preserve">SQL: aggregate functions, GROUP BY, HAVING. Python: functions (args, *args/**kwargs, scope)</t>
  </si>
  <si>
    <t xml:space="preserve">JOINs (inner, left, right, full, self), subqueries</t>
  </si>
  <si>
    <t xml:space="preserve">Python: exception handling</t>
  </si>
  <si>
    <t xml:space="preserve">SQL-heavy day</t>
  </si>
  <si>
    <t xml:space="preserve">Transaction, ACID (Atomicity, Consistency, Isolation, Durability)</t>
  </si>
  <si>
    <t xml:space="preserve">SQL: CASE, CTE. Python: iterators and generators</t>
  </si>
  <si>
    <t xml:space="preserve">Concurrency: dirty read, non-repeatable read, phantom read, isolation levels, locks, deadlocks</t>
  </si>
  <si>
    <t xml:space="preserve">SQL: window functions. Python: decorators</t>
  </si>
  <si>
    <t xml:space="preserve">Strings + Two Pointers</t>
  </si>
  <si>
    <t xml:space="preserve">Indexing (why it helps, when it hurts, clustered vs non-clustered), views, stored procedures, triggers, SQL vs NoSQL</t>
  </si>
  <si>
    <t xml:space="preserve">Python: memory concepts</t>
  </si>
  <si>
    <t xml:space="preserve">WEEK 1 MOCK + revision (DSA, DBMS/SQL, Python)</t>
  </si>
  <si>
    <t xml:space="preserve">Operating Systems</t>
  </si>
  <si>
    <t xml:space="preserve">OS, kernel, user vs kernel mode, system calls. Process, process states, PCB</t>
  </si>
  <si>
    <t xml:space="preserve">SQL practice</t>
  </si>
  <si>
    <t xml:space="preserve">Thread, process vs thread, multithreading, user vs kernel threads. Context switching</t>
  </si>
  <si>
    <t xml:space="preserve">Linux: file system, permissions</t>
  </si>
  <si>
    <t xml:space="preserve">Sliding Window</t>
  </si>
  <si>
    <t xml:space="preserve">CPU scheduling: FCFS, SJF, Round Robin, priority. Waiting, turnaround, response time (numericals)</t>
  </si>
  <si>
    <t xml:space="preserve">Race condition, critical section, mutex, semaphore, monitor basics. Mutex vs semaphore</t>
  </si>
  <si>
    <t xml:space="preserve">Linux: ps, top, kill</t>
  </si>
  <si>
    <t xml:space="preserve">Deadlock, four necessary conditions, prevention, avoidance, detection</t>
  </si>
  <si>
    <t xml:space="preserve">Stack + Queue</t>
  </si>
  <si>
    <t xml:space="preserve">RAM, virtual memory, paging, page fault, segmentation basics</t>
  </si>
  <si>
    <t xml:space="preserve">Linux: pipes, grep</t>
  </si>
  <si>
    <t xml:space="preserve">Page replacement (FIFO, LRU, Optimal), thrashing, OS revision (process vs thread, scheduling, deadlock)</t>
  </si>
  <si>
    <t xml:space="preserve">Python interview questions</t>
  </si>
  <si>
    <t xml:space="preserve">WEEK 2 MOCK (adds OS)</t>
  </si>
  <si>
    <t xml:space="preserve">Computer Networks</t>
  </si>
  <si>
    <t xml:space="preserve">Network types, OSI model, TCP/IP model, layer responsibilities</t>
  </si>
  <si>
    <t xml:space="preserve">Binary Search</t>
  </si>
  <si>
    <t xml:space="preserve">IPv4, IPv6, private vs public IP, MAC address, port numbers, sockets, DHCP, ARP</t>
  </si>
  <si>
    <t xml:space="preserve">TCP, UDP, TCP vs UDP, three-way handshake, four-way termination, flow control, congestion control basics</t>
  </si>
  <si>
    <t xml:space="preserve">DNS resolution, HTTP, HTTPS, FTP, SMTP. What happens when you enter a URL in a browser</t>
  </si>
  <si>
    <t xml:space="preserve">Linked List</t>
  </si>
  <si>
    <t xml:space="preserve">HTTP methods, status codes, cookies, sessions, TLS/SSL, REST, WebSockets, CORS</t>
  </si>
  <si>
    <t xml:space="preserve">Backend interview questions begin</t>
  </si>
  <si>
    <t xml:space="preserve">OOP</t>
  </si>
  <si>
    <t xml:space="preserve">Class, object, encapsulation, abstraction, inheritance, polymorphism (compile-time vs runtime), overloading, overriding, constructor</t>
  </si>
  <si>
    <t xml:space="preserve">Python OOP</t>
  </si>
  <si>
    <t xml:space="preserve">Interface, abstract class, composition, aggregation, association, SOLID, coupling, cohesion. Top 20 OOP questions</t>
  </si>
  <si>
    <t xml:space="preserve">Trees + Heap</t>
  </si>
  <si>
    <t xml:space="preserve">WEEK 3 MOCK (adds CN, OOP)</t>
  </si>
  <si>
    <t xml:space="preserve">COA</t>
  </si>
  <si>
    <t xml:space="preserve">CPU, ALU, control unit, registers, instruction cycle, CPU clock, interrupts, RISC vs CISC</t>
  </si>
  <si>
    <t xml:space="preserve">Git + GitHub</t>
  </si>
  <si>
    <t xml:space="preserve">COA + Software Engineering</t>
  </si>
  <si>
    <t xml:space="preserve">COA: memory hierarchy, L1/L2/L3 cache, RAM, ROM, virtual memory link. SE: SDLC, Agile, Scrum, Waterfall</t>
  </si>
  <si>
    <t xml:space="preserve">Software Engineering</t>
  </si>
  <si>
    <t xml:space="preserve">Requirements (functional vs non-functional), unit / integration / system / regression testing, version control, CI/CD basics, code review, debugging</t>
  </si>
  <si>
    <t xml:space="preserve">pytest, Docker basics</t>
  </si>
  <si>
    <t xml:space="preserve">Graph Basics</t>
  </si>
  <si>
    <t xml:space="preserve">Backend basics</t>
  </si>
  <si>
    <t xml:space="preserve">Client-server, REST, HTTP, CRUD, API, request/response, JSON</t>
  </si>
  <si>
    <t xml:space="preserve">Postman, first FastAPI endpoints</t>
  </si>
  <si>
    <t xml:space="preserve">Authentication basics, JWT basics, API design, basic API architecture. FastAPI + PostgreSQL. Project questions</t>
  </si>
  <si>
    <t xml:space="preserve">Full revision of all subjects</t>
  </si>
  <si>
    <t xml:space="preserve">Mixed revision</t>
  </si>
  <si>
    <t xml:space="preserve">Heaviest day. If needed, move JWT/auth to Day 25</t>
  </si>
  <si>
    <t xml:space="preserve">FINAL ASSESSMENT</t>
  </si>
  <si>
    <t xml:space="preserve">No new material. 9-round campus-style assessment: DSA (2 timed), DBMS 10, OS 10, CN 10, OOP 10, SQL 5 problems, Python 10, Backend 10, Project 5</t>
  </si>
  <si>
    <t xml:space="preserve">None</t>
  </si>
  <si>
    <t xml:space="preserve">Mixed (timed)</t>
  </si>
  <si>
    <t xml:space="preserve">WEEK 4 MOCK = final assessment. Fill the Scorecard sheet</t>
  </si>
  <si>
    <t xml:space="preserve">Slot</t>
  </si>
  <si>
    <t xml:space="preserve">Problem</t>
  </si>
  <si>
    <t xml:space="preserve">LeetCode #</t>
  </si>
  <si>
    <t xml:space="preserve">Difficulty</t>
  </si>
  <si>
    <t xml:space="preserve">Pattern</t>
  </si>
  <si>
    <t xml:space="preserve">Expected time (min)</t>
  </si>
  <si>
    <t xml:space="preserve">Why it matters</t>
  </si>
  <si>
    <t xml:space="preserve">Priority</t>
  </si>
  <si>
    <t xml:space="preserve">Status</t>
  </si>
  <si>
    <t xml:space="preserve">One-line takeaway</t>
  </si>
  <si>
    <t xml:space="preserve">Problem 1</t>
  </si>
  <si>
    <t xml:space="preserve">Two Sum</t>
  </si>
  <si>
    <t xml:space="preserve">Easy</t>
  </si>
  <si>
    <t xml:space="preserve">Hash map</t>
  </si>
  <si>
    <t xml:space="preserve">Foundation of the hash-map lookup trick; asked everywhere</t>
  </si>
  <si>
    <t xml:space="preserve">High</t>
  </si>
  <si>
    <t xml:space="preserve">Not started</t>
  </si>
  <si>
    <t xml:space="preserve">Problem 2</t>
  </si>
  <si>
    <t xml:space="preserve">Contains Duplicate</t>
  </si>
  <si>
    <t xml:space="preserve">Hash set</t>
  </si>
  <si>
    <t xml:space="preserve">Quickest intro to set membership</t>
  </si>
  <si>
    <t xml:space="preserve">Medium</t>
  </si>
  <si>
    <t xml:space="preserve">Valid Anagram</t>
  </si>
  <si>
    <t xml:space="preserve">Frequency count</t>
  </si>
  <si>
    <t xml:space="preserve">Frequency pattern reused in strings and windows</t>
  </si>
  <si>
    <t xml:space="preserve">Majority Element</t>
  </si>
  <si>
    <t xml:space="preserve">Frequency / Boyer-Moore</t>
  </si>
  <si>
    <t xml:space="preserve">Compares a hash map with the O(1)-space voting trick</t>
  </si>
  <si>
    <t xml:space="preserve">Best Time to Buy and Sell Stock</t>
  </si>
  <si>
    <t xml:space="preserve">One pass / running min</t>
  </si>
  <si>
    <t xml:space="preserve">Classic max-profit idea; groundwork for DP</t>
  </si>
  <si>
    <t xml:space="preserve">Maximum Subarray</t>
  </si>
  <si>
    <t xml:space="preserve">Kadane</t>
  </si>
  <si>
    <t xml:space="preserve">Most-asked array greedy/DP idea</t>
  </si>
  <si>
    <t xml:space="preserve">Range Sum Query - Immutable</t>
  </si>
  <si>
    <t xml:space="preserve">Prefix sum</t>
  </si>
  <si>
    <t xml:space="preserve">Prefix sums power range queries</t>
  </si>
  <si>
    <t xml:space="preserve">Subarray Sum Equals K</t>
  </si>
  <si>
    <t xml:space="preserve">Prefix sum + hash map</t>
  </si>
  <si>
    <t xml:space="preserve">Top interview pattern combining two ideas</t>
  </si>
  <si>
    <t xml:space="preserve">Move Zeroes</t>
  </si>
  <si>
    <t xml:space="preserve">In-place array manipulation</t>
  </si>
  <si>
    <t xml:space="preserve">In-place rewriting with a write pointer</t>
  </si>
  <si>
    <t xml:space="preserve">Group Anagrams</t>
  </si>
  <si>
    <t xml:space="preserve">Hashing with canonical key</t>
  </si>
  <si>
    <t xml:space="preserve">Teaches designing a hash key</t>
  </si>
  <si>
    <t xml:space="preserve">Valid Palindrome</t>
  </si>
  <si>
    <t xml:space="preserve">Two pointers (strings)</t>
  </si>
  <si>
    <t xml:space="preserve">Basic converging pointers on strings</t>
  </si>
  <si>
    <t xml:space="preserve">Longest Common Prefix</t>
  </si>
  <si>
    <t xml:space="preserve">String scan</t>
  </si>
  <si>
    <t xml:space="preserve">String traversal fundamentals</t>
  </si>
  <si>
    <t xml:space="preserve">Low</t>
  </si>
  <si>
    <t xml:space="preserve">Is Subsequence</t>
  </si>
  <si>
    <t xml:space="preserve">Two pointers</t>
  </si>
  <si>
    <t xml:space="preserve">Pointer-per-string technique</t>
  </si>
  <si>
    <t xml:space="preserve">Two Sum II - Input Array Is Sorted</t>
  </si>
  <si>
    <t xml:space="preserve">Two pointers on sorted array</t>
  </si>
  <si>
    <t xml:space="preserve">Standard sorted-array two-pointer template</t>
  </si>
  <si>
    <t xml:space="preserve">Container With Most Water</t>
  </si>
  <si>
    <t xml:space="preserve">Two pointers (greedy)</t>
  </si>
  <si>
    <t xml:space="preserve">Why moving the shorter side is safe</t>
  </si>
  <si>
    <t xml:space="preserve">3Sum</t>
  </si>
  <si>
    <t xml:space="preserve">Sort + two pointers</t>
  </si>
  <si>
    <t xml:space="preserve">Very frequent; combines sorting, pointers, dedup</t>
  </si>
  <si>
    <t xml:space="preserve">Maximum Average Subarray I</t>
  </si>
  <si>
    <t xml:space="preserve">Fixed sliding window</t>
  </si>
  <si>
    <t xml:space="preserve">Introduces the add-one, drop-one window update</t>
  </si>
  <si>
    <t xml:space="preserve">Permutation in String</t>
  </si>
  <si>
    <t xml:space="preserve">Fixed window + frequency</t>
  </si>
  <si>
    <t xml:space="preserve">Window with a frequency map</t>
  </si>
  <si>
    <t xml:space="preserve">Longest Substring Without Repeating Characters</t>
  </si>
  <si>
    <t xml:space="preserve">Variable window + set/map</t>
  </si>
  <si>
    <t xml:space="preserve">The classic variable-window problem</t>
  </si>
  <si>
    <t xml:space="preserve">Longest Repeating Character Replacement</t>
  </si>
  <si>
    <t xml:space="preserve">Variable window + counts</t>
  </si>
  <si>
    <t xml:space="preserve">Window validity condition with a budget</t>
  </si>
  <si>
    <t xml:space="preserve">Minimum Size Subarray Sum</t>
  </si>
  <si>
    <t xml:space="preserve">Variable window (shrink)</t>
  </si>
  <si>
    <t xml:space="preserve">Shrink-while-valid pattern</t>
  </si>
  <si>
    <t xml:space="preserve">Max Consecutive Ones III</t>
  </si>
  <si>
    <t xml:space="preserve">Variable window with constraint</t>
  </si>
  <si>
    <t xml:space="preserve">Window with at most k violations</t>
  </si>
  <si>
    <t xml:space="preserve">Valid Parentheses</t>
  </si>
  <si>
    <t xml:space="preserve">Stack</t>
  </si>
  <si>
    <t xml:space="preserve">Most common stack question</t>
  </si>
  <si>
    <t xml:space="preserve">Implement Queue using Stacks</t>
  </si>
  <si>
    <t xml:space="preserve">Queue via two stacks</t>
  </si>
  <si>
    <t xml:space="preserve">Tests understanding of stack/queue behaviour</t>
  </si>
  <si>
    <t xml:space="preserve">Min Stack</t>
  </si>
  <si>
    <t xml:space="preserve">Stack with extra state</t>
  </si>
  <si>
    <t xml:space="preserve">Auxiliary state alongside a stack</t>
  </si>
  <si>
    <t xml:space="preserve">Daily Temperatures</t>
  </si>
  <si>
    <t xml:space="preserve">Monotonic stack</t>
  </si>
  <si>
    <t xml:space="preserve">Entry point to monotonic stack problems</t>
  </si>
  <si>
    <t xml:space="preserve">Evaluate Reverse Polish Notation</t>
  </si>
  <si>
    <t xml:space="preserve">Stack evaluation</t>
  </si>
  <si>
    <t xml:space="preserve">Expression evaluation with a stack</t>
  </si>
  <si>
    <t xml:space="preserve">Number of Recent Calls</t>
  </si>
  <si>
    <t xml:space="preserve">Queue</t>
  </si>
  <si>
    <t xml:space="preserve">Simple queue as a time window</t>
  </si>
  <si>
    <t xml:space="preserve">Binary search</t>
  </si>
  <si>
    <t xml:space="preserve">The template everything else builds on</t>
  </si>
  <si>
    <t xml:space="preserve">Search a 2D Matrix</t>
  </si>
  <si>
    <t xml:space="preserve">Binary search on matrix</t>
  </si>
  <si>
    <t xml:space="preserve">Index mapping with binary search</t>
  </si>
  <si>
    <t xml:space="preserve">Find Minimum in Rotated Sorted Array</t>
  </si>
  <si>
    <t xml:space="preserve">Binary search (rotated)</t>
  </si>
  <si>
    <t xml:space="preserve">Deciding which half is sorted</t>
  </si>
  <si>
    <t xml:space="preserve">Search in Rotated Sorted Array</t>
  </si>
  <si>
    <t xml:space="preserve">Very frequent interview problem</t>
  </si>
  <si>
    <t xml:space="preserve">Koko Eating Bananas</t>
  </si>
  <si>
    <t xml:space="preserve">Binary search on answer</t>
  </si>
  <si>
    <t xml:space="preserve">Binary search on the answer space</t>
  </si>
  <si>
    <t xml:space="preserve">Find First and Last Position of Element in Sorted Array</t>
  </si>
  <si>
    <t xml:space="preserve">Binary search (bounds)</t>
  </si>
  <si>
    <t xml:space="preserve">Lower/upper bound templates</t>
  </si>
  <si>
    <t xml:space="preserve">Reverse Linked List</t>
  </si>
  <si>
    <t xml:space="preserve">Pointer reversal</t>
  </si>
  <si>
    <t xml:space="preserve">Core linked-list operation</t>
  </si>
  <si>
    <t xml:space="preserve">Merge Two Sorted Lists</t>
  </si>
  <si>
    <t xml:space="preserve">Merge with dummy node</t>
  </si>
  <si>
    <t xml:space="preserve">Dummy-node technique</t>
  </si>
  <si>
    <t xml:space="preserve">Linked List Cycle</t>
  </si>
  <si>
    <t xml:space="preserve">Fast/slow pointers</t>
  </si>
  <si>
    <t xml:space="preserve">Floyd's cycle detection</t>
  </si>
  <si>
    <t xml:space="preserve">Remove Nth Node From End of List</t>
  </si>
  <si>
    <t xml:space="preserve">Two pointers with gap</t>
  </si>
  <si>
    <t xml:space="preserve">Gap pointer and edge cases</t>
  </si>
  <si>
    <t xml:space="preserve">Reorder List</t>
  </si>
  <si>
    <t xml:space="preserve">Fast/slow + reverse + merge</t>
  </si>
  <si>
    <t xml:space="preserve">Combines three list techniques</t>
  </si>
  <si>
    <t xml:space="preserve">Add Two Numbers</t>
  </si>
  <si>
    <t xml:space="preserve">Linked list simulation</t>
  </si>
  <si>
    <t xml:space="preserve">Carry handling on lists</t>
  </si>
  <si>
    <t xml:space="preserve">Maximum Depth of Binary Tree</t>
  </si>
  <si>
    <t xml:space="preserve">Tree DFS</t>
  </si>
  <si>
    <t xml:space="preserve">Recursion on trees</t>
  </si>
  <si>
    <t xml:space="preserve">Binary Tree Level Order Traversal</t>
  </si>
  <si>
    <t xml:space="preserve">Tree BFS</t>
  </si>
  <si>
    <t xml:space="preserve">Standard BFS template</t>
  </si>
  <si>
    <t xml:space="preserve">Validate Binary Search Tree</t>
  </si>
  <si>
    <t xml:space="preserve">DFS with bounds</t>
  </si>
  <si>
    <t xml:space="preserve">BST property trap questions</t>
  </si>
  <si>
    <t xml:space="preserve">Lowest Common Ancestor of a Binary Tree</t>
  </si>
  <si>
    <t xml:space="preserve">Tree DFS recursion</t>
  </si>
  <si>
    <t xml:space="preserve">Frequent tree question</t>
  </si>
  <si>
    <t xml:space="preserve">Kth Largest Element in an Array</t>
  </si>
  <si>
    <t xml:space="preserve">Heap / quickselect</t>
  </si>
  <si>
    <t xml:space="preserve">Introduces heaps</t>
  </si>
  <si>
    <t xml:space="preserve">Top K Frequent Elements</t>
  </si>
  <si>
    <t xml:space="preserve">Heap / bucket + hash map</t>
  </si>
  <si>
    <t xml:space="preserve">Top-K pattern</t>
  </si>
  <si>
    <t xml:space="preserve">Find if Path Exists in Graph</t>
  </si>
  <si>
    <t xml:space="preserve">Graph traversal</t>
  </si>
  <si>
    <t xml:space="preserve">Graph representation and DFS/BFS</t>
  </si>
  <si>
    <t xml:space="preserve">Number of Islands</t>
  </si>
  <si>
    <t xml:space="preserve">Grid DFS/BFS</t>
  </si>
  <si>
    <t xml:space="preserve">Most-asked graph problem</t>
  </si>
  <si>
    <t xml:space="preserve">Rotting Oranges</t>
  </si>
  <si>
    <t xml:space="preserve">Multi-source BFS</t>
  </si>
  <si>
    <t xml:space="preserve">BFS with levels</t>
  </si>
  <si>
    <t xml:space="preserve">Course Schedule</t>
  </si>
  <si>
    <t xml:space="preserve">Topological sort / cycle detection</t>
  </si>
  <si>
    <t xml:space="preserve">Dependency graphs; a very common topic</t>
  </si>
  <si>
    <t xml:space="preserve">Product of Array Except Self</t>
  </si>
  <si>
    <t xml:space="preserve">Prefix/suffix products</t>
  </si>
  <si>
    <t xml:space="preserve">Default revision pick (arrays). Swap if another area is weaker</t>
  </si>
  <si>
    <t xml:space="preserve">Linked List Cycle II</t>
  </si>
  <si>
    <t xml:space="preserve">Default revision pick (linked list). Swap if needed</t>
  </si>
  <si>
    <t xml:space="preserve">Merge Intervals</t>
  </si>
  <si>
    <t xml:space="preserve">Sorting + intervals</t>
  </si>
  <si>
    <t xml:space="preserve">Final timed round; very common pattern</t>
  </si>
  <si>
    <t xml:space="preserve">Longest Consecutive Sequence</t>
  </si>
  <si>
    <t xml:space="preserve">Final timed round; hash-set trick</t>
  </si>
  <si>
    <t xml:space="preserve">Total problems</t>
  </si>
  <si>
    <t xml:space="preserve">Solved</t>
  </si>
  <si>
    <t xml:space="preserve">Easy / Medium</t>
  </si>
  <si>
    <t xml:space="preserve">Expected times are my estimates for a first attempt. Days 26-27 are default picks: swap them for your weakest patterns on Day 25 night.</t>
  </si>
  <si>
    <t xml:space="preserve">Subject</t>
  </si>
  <si>
    <t xml:space="preserve">Target questions</t>
  </si>
  <si>
    <t xml:space="preserve">Introduced on</t>
  </si>
  <si>
    <t xml:space="preserve">Questions done</t>
  </si>
  <si>
    <t xml:space="preserve">% done</t>
  </si>
  <si>
    <t xml:space="preserve">Days 1-7</t>
  </si>
  <si>
    <t xml:space="preserve">SQL</t>
  </si>
  <si>
    <t xml:space="preserve">Days 3-7, then practice days</t>
  </si>
  <si>
    <t xml:space="preserve">OS</t>
  </si>
  <si>
    <t xml:space="preserve">Days 8-14</t>
  </si>
  <si>
    <t xml:space="preserve">CN</t>
  </si>
  <si>
    <t xml:space="preserve">Days 15-19</t>
  </si>
  <si>
    <t xml:space="preserve">Days 20-21</t>
  </si>
  <si>
    <t xml:space="preserve">Days 22-23</t>
  </si>
  <si>
    <t xml:space="preserve">Days 23-24</t>
  </si>
  <si>
    <t xml:space="preserve">Python</t>
  </si>
  <si>
    <t xml:space="preserve">Days 1-7, 14, 16, 20-21, 23</t>
  </si>
  <si>
    <t xml:space="preserve">Backend</t>
  </si>
  <si>
    <t xml:space="preserve">Days 19, 25-26</t>
  </si>
  <si>
    <t xml:space="preserve">Total</t>
  </si>
  <si>
    <t xml:space="preserve">Each day shows 3-5 new questions from that day's subject; the extras land in weekend revision. Targets come from your brief.</t>
  </si>
  <si>
    <t xml:space="preserve">Mock tests and final assessment</t>
  </si>
  <si>
    <t xml:space="preserve">Strong at or above</t>
  </si>
  <si>
    <t xml:space="preserve">Assumption: these cut-offs are my default; change them to suit you. Below the second cut-off = Weak.</t>
  </si>
  <si>
    <t xml:space="preserve">Needs revision at or above</t>
  </si>
  <si>
    <t xml:space="preserve">Mock</t>
  </si>
  <si>
    <t xml:space="preserve">Covers</t>
  </si>
  <si>
    <t xml:space="preserve">Score (/100)</t>
  </si>
  <si>
    <t xml:space="preserve">Weak areas / notes</t>
  </si>
  <si>
    <t xml:space="preserve">Week 1 mock</t>
  </si>
  <si>
    <t xml:space="preserve">DSA 2 unseen, DBMS/SQL 10 Qs, Python 5 Qs</t>
  </si>
  <si>
    <t xml:space="preserve">Week 2 mock</t>
  </si>
  <si>
    <t xml:space="preserve">DSA 2 unseen, DBMS/SQL 10, OS 10, Python 5</t>
  </si>
  <si>
    <t xml:space="preserve">Week 3 mock</t>
  </si>
  <si>
    <t xml:space="preserve">DSA 2 unseen, DBMS/SQL 10, OS 10, CN 10, OOP 5, Python 5</t>
  </si>
  <si>
    <t xml:space="preserve">Week 4 = Final assessment</t>
  </si>
  <si>
    <t xml:space="preserve">All 9 rounds (see below)</t>
  </si>
  <si>
    <t xml:space="preserve">Mock DSA problems are that day's 2 problems, solved timed, so the daily count stays at 2. Mocks cover only subjects studied so far.</t>
  </si>
  <si>
    <t xml:space="preserve">OCTOBER 31 FINAL SCORECARD</t>
  </si>
  <si>
    <t xml:space="preserve">Round (Oct 31)</t>
  </si>
  <si>
    <t xml:space="preserve">DSA</t>
  </si>
  <si>
    <t xml:space="preserve">Round 1: 2 timed problems</t>
  </si>
  <si>
    <t xml:space="preserve">Round 2: 10 questions</t>
  </si>
  <si>
    <t xml:space="preserve">Round 6: 5 problems</t>
  </si>
  <si>
    <t xml:space="preserve">Round 3: 10 questions</t>
  </si>
  <si>
    <t xml:space="preserve">Round 4: 10 questions</t>
  </si>
  <si>
    <t xml:space="preserve">Round 5: 10 questions</t>
  </si>
  <si>
    <t xml:space="preserve">Covered through DBMS/OS rounds and revision</t>
  </si>
  <si>
    <t xml:space="preserve">Round 7: 10 questions</t>
  </si>
  <si>
    <t xml:space="preserve">Round 8: 10 questions</t>
  </si>
  <si>
    <t xml:space="preserve">Average score</t>
  </si>
  <si>
    <t xml:space="preserve">Round 9 (Project, 5 questions) is a separate round and is not part of the 9-subject scorecard.</t>
  </si>
  <si>
    <t xml:space="preserve">How the month is divided</t>
  </si>
  <si>
    <t xml:space="preserve">Dates</t>
  </si>
  <si>
    <t xml:space="preserve">Side track</t>
  </si>
  <si>
    <t xml:space="preserve">Week 1</t>
  </si>
  <si>
    <t xml:space="preserve">Oct 5-11</t>
  </si>
  <si>
    <t xml:space="preserve">SQL (basics to window functions), Python fundamentals</t>
  </si>
  <si>
    <t xml:space="preserve">Week 2</t>
  </si>
  <si>
    <t xml:space="preserve">Oct 12-18</t>
  </si>
  <si>
    <t xml:space="preserve">Linux basics, SQL practice</t>
  </si>
  <si>
    <t xml:space="preserve">Week 3</t>
  </si>
  <si>
    <t xml:space="preserve">Oct 19-25</t>
  </si>
  <si>
    <t xml:space="preserve">Computer Networks, then OOP</t>
  </si>
  <si>
    <t xml:space="preserve">Python OOP, REST/HTTP overlap</t>
  </si>
  <si>
    <t xml:space="preserve">Week 4</t>
  </si>
  <si>
    <t xml:space="preserve">Oct 26-31</t>
  </si>
  <si>
    <t xml:space="preserve">COA, Software Engineering, Backend basics</t>
  </si>
  <si>
    <t xml:space="preserve">Git, pytest, Docker, Postman, FastAPI + PostgreSQL</t>
  </si>
  <si>
    <t xml:space="preserve">Daily rhythm</t>
  </si>
  <si>
    <t xml:space="preserve">Time</t>
  </si>
  <si>
    <t xml:space="preserve">2 DSA problems</t>
  </si>
  <si>
    <t xml:space="preserve">~2 h</t>
  </si>
  <si>
    <t xml:space="preserve">CSE core (day's subject)</t>
  </si>
  <si>
    <t xml:space="preserve">45-60 min</t>
  </si>
  <si>
    <t xml:space="preserve">Interview questions + revision + recall</t>
  </si>
  <si>
    <t xml:space="preserve">~45 min</t>
  </si>
  <si>
    <t xml:space="preserve">About 5.5-6 hours in total; scale it down as your college schedule requires.</t>
  </si>
  <si>
    <t xml:space="preserve">Decisions made where the brief conflicted</t>
  </si>
  <si>
    <t xml:space="preserve">1. Mock-test DSA problems are that day's 2 problems, solved timed, so the count stays exactly 2 per day (54 total).</t>
  </si>
  <si>
    <t xml:space="preserve">2. Each mock covers only the subjects studied so far: Week 1 = DSA, DBMS/SQL, Python; Week 2 adds OS; Week 3 adds CN and OOP.</t>
  </si>
  <si>
    <t xml:space="preserve">3. DSA day ranges from your brief take priority over the weekly focus text: Stack/Queue falls in Week 2 (Days 12-14), Trees start on Day 21.</t>
  </si>
  <si>
    <t xml:space="preserve">4. Days 26-27 DSA are default picks; swap them for weak areas on Day 25 night.</t>
  </si>
  <si>
    <t xml:space="preserve">5. OOP gets two days (20-21); OOP questions are added to Week 4 daily revision.</t>
  </si>
  <si>
    <t xml:space="preserve">6. Day 26 is the heaviest day. If needed, move JWT/auth basics to Day 25.</t>
  </si>
  <si>
    <t xml:space="preserve">7. Redis, Kafka, Kubernetes, Jenkins, microservices, distributed systems: NOVEMBER - DO NOT STUDY DEEPLY YET.</t>
  </si>
</sst>
</file>

<file path=xl/styles.xml><?xml version="1.0" encoding="utf-8"?>
<styleSheet xmlns="http://schemas.openxmlformats.org/spreadsheetml/2006/main">
  <numFmts count="7">
    <numFmt numFmtId="164" formatCode="General"/>
    <numFmt numFmtId="165" formatCode="ddd&quot;, &quot;d\ mmm\ yyyy"/>
    <numFmt numFmtId="166" formatCode="General"/>
    <numFmt numFmtId="167" formatCode="0%"/>
    <numFmt numFmtId="168" formatCode="d\ mmm\ yyyy"/>
    <numFmt numFmtId="169" formatCode="d\ mmm"/>
    <numFmt numFmtId="170" formatCode="0.0"/>
  </numFmts>
  <fonts count="12">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10"/>
      <color rgb="FF595959"/>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10"/>
      <name val="Arial"/>
      <family val="0"/>
      <charset val="1"/>
    </font>
    <font>
      <b val="true"/>
      <sz val="10"/>
      <color rgb="FFB45F06"/>
      <name val="Arial"/>
      <family val="0"/>
      <charset val="1"/>
    </font>
    <font>
      <b val="true"/>
      <sz val="12"/>
      <color rgb="FF1F3A5F"/>
      <name val="Arial"/>
      <family val="0"/>
      <charset val="1"/>
    </font>
  </fonts>
  <fills count="7">
    <fill>
      <patternFill patternType="none"/>
    </fill>
    <fill>
      <patternFill patternType="gray125"/>
    </fill>
    <fill>
      <patternFill patternType="solid">
        <fgColor rgb="FF1F3A5F"/>
        <bgColor rgb="FF333333"/>
      </patternFill>
    </fill>
    <fill>
      <patternFill patternType="solid">
        <fgColor rgb="FFEAF2FB"/>
        <bgColor rgb="FFEEF7EA"/>
      </patternFill>
    </fill>
    <fill>
      <patternFill patternType="solid">
        <fgColor rgb="FFEEF7EA"/>
        <bgColor rgb="FFEAF2FB"/>
      </patternFill>
    </fill>
    <fill>
      <patternFill patternType="solid">
        <fgColor rgb="FFFDF3E3"/>
        <bgColor rgb="FFEEF7EA"/>
      </patternFill>
    </fill>
    <fill>
      <patternFill patternType="solid">
        <fgColor rgb="FFF6EAF7"/>
        <bgColor rgb="FFEAF2FB"/>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7"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8" fontId="9" fillId="3"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8" fontId="9"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8" fontId="9" fillId="5"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8" fontId="9" fillId="6"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9" fontId="9"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9" fontId="9"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9" fontId="9"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9" fontId="9" fillId="6"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68"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70" fontId="6" fillId="0"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A5F"/>
          <bgColor rgb="FF000000"/>
        </patternFill>
      </fill>
    </dxf>
    <dxf>
      <fill>
        <patternFill patternType="solid">
          <fgColor rgb="FFEAF2FB"/>
          <bgColor rgb="FF000000"/>
        </patternFill>
      </fill>
    </dxf>
    <dxf>
      <fill>
        <patternFill patternType="solid">
          <fgColor rgb="FFEEF7EA"/>
          <bgColor rgb="FF000000"/>
        </patternFill>
      </fill>
    </dxf>
    <dxf>
      <fill>
        <patternFill patternType="solid">
          <fgColor rgb="FFF6EAF7"/>
          <bgColor rgb="FF000000"/>
        </patternFill>
      </fill>
    </dxf>
    <dxf>
      <fill>
        <patternFill patternType="solid">
          <fgColor rgb="FFFDF3E3"/>
          <bgColor rgb="FF000000"/>
        </patternFill>
      </fill>
    </dxf>
    <dxf>
      <fill>
        <patternFill patternType="solid">
          <fgColor rgb="FFFFFFFF"/>
          <bgColor rgb="FF000000"/>
        </patternFill>
      </fill>
    </dxf>
    <dxf>
      <fill>
        <patternFill patternType="solid">
          <bgColor rgb="FF000000"/>
        </patternFill>
      </fill>
    </dxf>
    <dxf>
      <fill>
        <patternFill patternType="solid">
          <fgColor rgb="FF0000FF"/>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6EAF7"/>
      <rgbColor rgb="FF808080"/>
      <rgbColor rgb="FF9999FF"/>
      <rgbColor rgb="FF993366"/>
      <rgbColor rgb="FFFDF3E3"/>
      <rgbColor rgb="FFEAF2FB"/>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EF7EA"/>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A5F"/>
      <rgbColor rgb="FF339966"/>
      <rgbColor rgb="FF003300"/>
      <rgbColor rgb="FF333300"/>
      <rgbColor rgb="FFB45F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4"/>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n">
        <v>46300</v>
      </c>
      <c r="C4" s="2" t="s">
        <v>3</v>
      </c>
    </row>
    <row r="5" customFormat="false" ht="15" hidden="false" customHeight="false" outlineLevel="0" collapsed="false">
      <c r="A5" s="3" t="s">
        <v>4</v>
      </c>
      <c r="B5" s="2" t="s">
        <v>5</v>
      </c>
    </row>
    <row r="7" customFormat="false" ht="30" hidden="false" customHeight="true" outlineLevel="0" collapsed="false">
      <c r="A7" s="5" t="s">
        <v>6</v>
      </c>
      <c r="B7" s="5" t="s">
        <v>7</v>
      </c>
      <c r="C7" s="5" t="s">
        <v>8</v>
      </c>
      <c r="D7" s="5" t="s">
        <v>9</v>
      </c>
    </row>
    <row r="8" customFormat="false" ht="15" hidden="false" customHeight="false" outlineLevel="0" collapsed="false">
      <c r="A8" s="6" t="s">
        <v>10</v>
      </c>
      <c r="B8" s="7" t="n">
        <f aca="false">COUNTIF('DSA Problems'!K:K,"Done")</f>
        <v>0</v>
      </c>
      <c r="C8" s="7" t="n">
        <f aca="false">COUNTA('DSA Problems'!D2:D55)</f>
        <v>54</v>
      </c>
      <c r="D8" s="8" t="n">
        <f aca="false">IF(C8&gt;0,B8/C8,0)</f>
        <v>0</v>
      </c>
    </row>
    <row r="9" customFormat="false" ht="15" hidden="false" customHeight="false" outlineLevel="0" collapsed="false">
      <c r="A9" s="9" t="s">
        <v>11</v>
      </c>
      <c r="B9" s="7" t="n">
        <f aca="false">COUNTIF('Day Map'!M:M,"Complete")</f>
        <v>0</v>
      </c>
      <c r="C9" s="7" t="n">
        <f aca="false">COUNTA('Day Map'!A2:A28)</f>
        <v>27</v>
      </c>
      <c r="D9" s="8" t="n">
        <f aca="false">IF(C9&gt;0,B9/C9,0)</f>
        <v>0</v>
      </c>
    </row>
    <row r="10" customFormat="false" ht="15" hidden="false" customHeight="false" outlineLevel="0" collapsed="false">
      <c r="A10" s="9" t="s">
        <v>12</v>
      </c>
      <c r="B10" s="7" t="n">
        <f aca="false">'Question Bank'!D2</f>
        <v>0</v>
      </c>
      <c r="C10" s="7" t="n">
        <f aca="false">'Question Bank'!B2</f>
        <v>30</v>
      </c>
      <c r="D10" s="8" t="n">
        <f aca="false">IF(C10&gt;0,B10/C10,0)</f>
        <v>0</v>
      </c>
    </row>
    <row r="11" customFormat="false" ht="15" hidden="false" customHeight="false" outlineLevel="0" collapsed="false">
      <c r="A11" s="9" t="s">
        <v>13</v>
      </c>
      <c r="B11" s="7" t="n">
        <f aca="false">'Question Bank'!D3</f>
        <v>0</v>
      </c>
      <c r="C11" s="7" t="n">
        <f aca="false">'Question Bank'!B3</f>
        <v>25</v>
      </c>
      <c r="D11" s="8" t="n">
        <f aca="false">IF(C11&gt;0,B11/C11,0)</f>
        <v>0</v>
      </c>
    </row>
    <row r="12" customFormat="false" ht="15" hidden="false" customHeight="false" outlineLevel="0" collapsed="false">
      <c r="A12" s="9" t="s">
        <v>14</v>
      </c>
      <c r="B12" s="7" t="n">
        <f aca="false">'Question Bank'!D4</f>
        <v>0</v>
      </c>
      <c r="C12" s="7" t="n">
        <f aca="false">'Question Bank'!B4</f>
        <v>30</v>
      </c>
      <c r="D12" s="8" t="n">
        <f aca="false">IF(C12&gt;0,B12/C12,0)</f>
        <v>0</v>
      </c>
    </row>
    <row r="13" customFormat="false" ht="15" hidden="false" customHeight="false" outlineLevel="0" collapsed="false">
      <c r="A13" s="9" t="s">
        <v>15</v>
      </c>
      <c r="B13" s="7" t="n">
        <f aca="false">'Question Bank'!D5</f>
        <v>0</v>
      </c>
      <c r="C13" s="7" t="n">
        <f aca="false">'Question Bank'!B5</f>
        <v>30</v>
      </c>
      <c r="D13" s="8" t="n">
        <f aca="false">IF(C13&gt;0,B13/C13,0)</f>
        <v>0</v>
      </c>
    </row>
    <row r="14" customFormat="false" ht="15" hidden="false" customHeight="false" outlineLevel="0" collapsed="false">
      <c r="A14" s="9" t="s">
        <v>16</v>
      </c>
      <c r="B14" s="7" t="n">
        <f aca="false">'Question Bank'!D6</f>
        <v>0</v>
      </c>
      <c r="C14" s="7" t="n">
        <f aca="false">'Question Bank'!B6</f>
        <v>25</v>
      </c>
      <c r="D14" s="8" t="n">
        <f aca="false">IF(C14&gt;0,B14/C14,0)</f>
        <v>0</v>
      </c>
    </row>
    <row r="15" customFormat="false" ht="15" hidden="false" customHeight="false" outlineLevel="0" collapsed="false">
      <c r="A15" s="9" t="s">
        <v>17</v>
      </c>
      <c r="B15" s="7" t="n">
        <f aca="false">'Question Bank'!D7</f>
        <v>0</v>
      </c>
      <c r="C15" s="7" t="n">
        <f aca="false">'Question Bank'!B7</f>
        <v>15</v>
      </c>
      <c r="D15" s="8" t="n">
        <f aca="false">IF(C15&gt;0,B15/C15,0)</f>
        <v>0</v>
      </c>
    </row>
    <row r="16" customFormat="false" ht="15" hidden="false" customHeight="false" outlineLevel="0" collapsed="false">
      <c r="A16" s="9" t="s">
        <v>18</v>
      </c>
      <c r="B16" s="7" t="n">
        <f aca="false">'Question Bank'!D8</f>
        <v>0</v>
      </c>
      <c r="C16" s="7" t="n">
        <f aca="false">'Question Bank'!B8</f>
        <v>15</v>
      </c>
      <c r="D16" s="8" t="n">
        <f aca="false">IF(C16&gt;0,B16/C16,0)</f>
        <v>0</v>
      </c>
    </row>
    <row r="17" customFormat="false" ht="15" hidden="false" customHeight="false" outlineLevel="0" collapsed="false">
      <c r="A17" s="9" t="s">
        <v>19</v>
      </c>
      <c r="B17" s="7" t="n">
        <f aca="false">'Question Bank'!D9</f>
        <v>0</v>
      </c>
      <c r="C17" s="7" t="n">
        <f aca="false">'Question Bank'!B9</f>
        <v>20</v>
      </c>
      <c r="D17" s="8" t="n">
        <f aca="false">IF(C17&gt;0,B17/C17,0)</f>
        <v>0</v>
      </c>
    </row>
    <row r="18" customFormat="false" ht="15" hidden="false" customHeight="false" outlineLevel="0" collapsed="false">
      <c r="A18" s="9" t="s">
        <v>20</v>
      </c>
      <c r="B18" s="7" t="n">
        <f aca="false">'Question Bank'!D10</f>
        <v>0</v>
      </c>
      <c r="C18" s="7" t="n">
        <f aca="false">'Question Bank'!B10</f>
        <v>20</v>
      </c>
      <c r="D18" s="8" t="n">
        <f aca="false">IF(C18&gt;0,B18/C18,0)</f>
        <v>0</v>
      </c>
    </row>
    <row r="20" customFormat="false" ht="15" hidden="false" customHeight="false" outlineLevel="0" collapsed="false">
      <c r="A20" s="2" t="s">
        <v>21</v>
      </c>
    </row>
    <row r="21" customFormat="false" ht="15" hidden="false" customHeight="false" outlineLevel="0" collapsed="false">
      <c r="A21" s="10"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10"/>
    <col collapsed="false" customWidth="true" hidden="false" outlineLevel="0" max="4" min="4" style="0" width="7"/>
    <col collapsed="false" customWidth="true" hidden="false" outlineLevel="0" max="5" min="5" style="0" width="20"/>
    <col collapsed="false" customWidth="true" hidden="false" outlineLevel="0" max="6" min="6" style="0" width="52"/>
    <col collapsed="false" customWidth="true" hidden="false" outlineLevel="0" max="7" min="7" style="0" width="40"/>
    <col collapsed="false" customWidth="true" hidden="false" outlineLevel="0" max="8" min="8" style="0" width="22"/>
    <col collapsed="false" customWidth="true" hidden="false" outlineLevel="0" max="9" min="9" style="0" width="10"/>
    <col collapsed="false" customWidth="true" hidden="false" outlineLevel="0" max="10" min="10" style="0" width="11"/>
    <col collapsed="false" customWidth="true" hidden="false" outlineLevel="0" max="11" min="11" style="0" width="12"/>
    <col collapsed="false" customWidth="true" hidden="false" outlineLevel="0" max="12" min="12" style="0" width="11"/>
    <col collapsed="false" customWidth="true" hidden="false" outlineLevel="0" max="13" min="13" style="0" width="13"/>
    <col collapsed="false" customWidth="true" hidden="false" outlineLevel="0" max="14" min="14" style="0" width="36"/>
  </cols>
  <sheetData>
    <row r="1" customFormat="false" ht="30" hidden="false" customHeight="true" outlineLevel="0" collapsed="false">
      <c r="A1" s="5" t="s">
        <v>23</v>
      </c>
      <c r="B1" s="5" t="s">
        <v>24</v>
      </c>
      <c r="C1" s="5" t="s">
        <v>25</v>
      </c>
      <c r="D1" s="5" t="s">
        <v>26</v>
      </c>
      <c r="E1" s="5" t="s">
        <v>27</v>
      </c>
      <c r="F1" s="5" t="s">
        <v>28</v>
      </c>
      <c r="G1" s="5" t="s">
        <v>29</v>
      </c>
      <c r="H1" s="5" t="s">
        <v>30</v>
      </c>
      <c r="I1" s="5" t="s">
        <v>31</v>
      </c>
      <c r="J1" s="5" t="s">
        <v>32</v>
      </c>
      <c r="K1" s="5" t="s">
        <v>33</v>
      </c>
      <c r="L1" s="5" t="s">
        <v>34</v>
      </c>
      <c r="M1" s="5" t="s">
        <v>35</v>
      </c>
      <c r="N1" s="5" t="s">
        <v>36</v>
      </c>
    </row>
    <row r="2" customFormat="false" ht="35.05" hidden="false" customHeight="false" outlineLevel="0" collapsed="false">
      <c r="A2" s="11" t="n">
        <v>1</v>
      </c>
      <c r="B2" s="12" t="n">
        <f aca="false">Overview!$B$4+A2-1</f>
        <v>46300</v>
      </c>
      <c r="C2" s="13" t="str">
        <f aca="false">TEXT(B2,"ddd")</f>
        <v>Mon</v>
      </c>
      <c r="D2" s="13" t="n">
        <v>1</v>
      </c>
      <c r="E2" s="14" t="s">
        <v>37</v>
      </c>
      <c r="F2" s="14" t="s">
        <v>38</v>
      </c>
      <c r="G2" s="14" t="s">
        <v>39</v>
      </c>
      <c r="H2" s="14" t="s">
        <v>40</v>
      </c>
      <c r="I2" s="13" t="n">
        <f aca="false">COUNTIFS('DSA Problems'!A:A,A2,'DSA Problems'!K:K,"Done")</f>
        <v>0</v>
      </c>
      <c r="J2" s="15" t="s">
        <v>41</v>
      </c>
      <c r="K2" s="15" t="s">
        <v>41</v>
      </c>
      <c r="L2" s="15" t="s">
        <v>41</v>
      </c>
      <c r="M2" s="13" t="str">
        <f aca="false">IF(AND(I2=2,J2="Yes",K2="Yes",L2="Yes"),"Complete",IF(OR(I2&gt;0,J2="Yes",K2="Yes",L2="Yes"),"In progress","Not started"))</f>
        <v>Not started</v>
      </c>
      <c r="N2" s="14"/>
    </row>
    <row r="3" customFormat="false" ht="23.85" hidden="false" customHeight="false" outlineLevel="0" collapsed="false">
      <c r="A3" s="11" t="n">
        <v>2</v>
      </c>
      <c r="B3" s="12" t="n">
        <f aca="false">Overview!$B$4+A3-1</f>
        <v>46301</v>
      </c>
      <c r="C3" s="13" t="str">
        <f aca="false">TEXT(B3,"ddd")</f>
        <v>Tue</v>
      </c>
      <c r="D3" s="13" t="n">
        <v>1</v>
      </c>
      <c r="E3" s="14" t="s">
        <v>37</v>
      </c>
      <c r="F3" s="14" t="s">
        <v>42</v>
      </c>
      <c r="G3" s="14" t="s">
        <v>43</v>
      </c>
      <c r="H3" s="14" t="s">
        <v>40</v>
      </c>
      <c r="I3" s="13" t="n">
        <f aca="false">COUNTIFS('DSA Problems'!A:A,A3,'DSA Problems'!K:K,"Done")</f>
        <v>0</v>
      </c>
      <c r="J3" s="15" t="s">
        <v>41</v>
      </c>
      <c r="K3" s="15" t="s">
        <v>41</v>
      </c>
      <c r="L3" s="15" t="s">
        <v>41</v>
      </c>
      <c r="M3" s="13" t="str">
        <f aca="false">IF(AND(I3=2,J3="Yes",K3="Yes",L3="Yes"),"Complete",IF(OR(I3&gt;0,J3="Yes",K3="Yes",L3="Yes"),"In progress","Not started"))</f>
        <v>Not started</v>
      </c>
      <c r="N3" s="14"/>
    </row>
    <row r="4" customFormat="false" ht="23.85" hidden="false" customHeight="false" outlineLevel="0" collapsed="false">
      <c r="A4" s="11" t="n">
        <v>3</v>
      </c>
      <c r="B4" s="12" t="n">
        <f aca="false">Overview!$B$4+A4-1</f>
        <v>46302</v>
      </c>
      <c r="C4" s="13" t="str">
        <f aca="false">TEXT(B4,"ddd")</f>
        <v>Wed</v>
      </c>
      <c r="D4" s="13" t="n">
        <v>1</v>
      </c>
      <c r="E4" s="14" t="s">
        <v>37</v>
      </c>
      <c r="F4" s="14" t="s">
        <v>44</v>
      </c>
      <c r="G4" s="14" t="s">
        <v>45</v>
      </c>
      <c r="H4" s="14" t="s">
        <v>40</v>
      </c>
      <c r="I4" s="13" t="n">
        <f aca="false">COUNTIFS('DSA Problems'!A:A,A4,'DSA Problems'!K:K,"Done")</f>
        <v>0</v>
      </c>
      <c r="J4" s="15" t="s">
        <v>41</v>
      </c>
      <c r="K4" s="15" t="s">
        <v>41</v>
      </c>
      <c r="L4" s="15" t="s">
        <v>41</v>
      </c>
      <c r="M4" s="13" t="str">
        <f aca="false">IF(AND(I4=2,J4="Yes",K4="Yes",L4="Yes"),"Complete",IF(OR(I4&gt;0,J4="Yes",K4="Yes",L4="Yes"),"In progress","Not started"))</f>
        <v>Not started</v>
      </c>
      <c r="N4" s="14"/>
    </row>
    <row r="5" customFormat="false" ht="15" hidden="false" customHeight="false" outlineLevel="0" collapsed="false">
      <c r="A5" s="11" t="n">
        <v>4</v>
      </c>
      <c r="B5" s="12" t="n">
        <f aca="false">Overview!$B$4+A5-1</f>
        <v>46303</v>
      </c>
      <c r="C5" s="13" t="str">
        <f aca="false">TEXT(B5,"ddd")</f>
        <v>Thu</v>
      </c>
      <c r="D5" s="13" t="n">
        <v>1</v>
      </c>
      <c r="E5" s="14" t="s">
        <v>37</v>
      </c>
      <c r="F5" s="14" t="s">
        <v>46</v>
      </c>
      <c r="G5" s="14" t="s">
        <v>47</v>
      </c>
      <c r="H5" s="14" t="s">
        <v>40</v>
      </c>
      <c r="I5" s="13" t="n">
        <f aca="false">COUNTIFS('DSA Problems'!A:A,A5,'DSA Problems'!K:K,"Done")</f>
        <v>0</v>
      </c>
      <c r="J5" s="15" t="s">
        <v>41</v>
      </c>
      <c r="K5" s="15" t="s">
        <v>41</v>
      </c>
      <c r="L5" s="15" t="s">
        <v>41</v>
      </c>
      <c r="M5" s="13" t="str">
        <f aca="false">IF(AND(I5=2,J5="Yes",K5="Yes",L5="Yes"),"Complete",IF(OR(I5&gt;0,J5="Yes",K5="Yes",L5="Yes"),"In progress","Not started"))</f>
        <v>Not started</v>
      </c>
      <c r="N5" s="14" t="s">
        <v>48</v>
      </c>
    </row>
    <row r="6" customFormat="false" ht="23.85" hidden="false" customHeight="false" outlineLevel="0" collapsed="false">
      <c r="A6" s="11" t="n">
        <v>5</v>
      </c>
      <c r="B6" s="12" t="n">
        <f aca="false">Overview!$B$4+A6-1</f>
        <v>46304</v>
      </c>
      <c r="C6" s="13" t="str">
        <f aca="false">TEXT(B6,"ddd")</f>
        <v>Fri</v>
      </c>
      <c r="D6" s="13" t="n">
        <v>1</v>
      </c>
      <c r="E6" s="14" t="s">
        <v>37</v>
      </c>
      <c r="F6" s="14" t="s">
        <v>49</v>
      </c>
      <c r="G6" s="14" t="s">
        <v>50</v>
      </c>
      <c r="H6" s="14" t="s">
        <v>40</v>
      </c>
      <c r="I6" s="13" t="n">
        <f aca="false">COUNTIFS('DSA Problems'!A:A,A6,'DSA Problems'!K:K,"Done")</f>
        <v>0</v>
      </c>
      <c r="J6" s="15" t="s">
        <v>41</v>
      </c>
      <c r="K6" s="15" t="s">
        <v>41</v>
      </c>
      <c r="L6" s="15" t="s">
        <v>41</v>
      </c>
      <c r="M6" s="13" t="str">
        <f aca="false">IF(AND(I6=2,J6="Yes",K6="Yes",L6="Yes"),"Complete",IF(OR(I6&gt;0,J6="Yes",K6="Yes",L6="Yes"),"In progress","Not started"))</f>
        <v>Not started</v>
      </c>
      <c r="N6" s="14"/>
    </row>
    <row r="7" customFormat="false" ht="23.85" hidden="false" customHeight="false" outlineLevel="0" collapsed="false">
      <c r="A7" s="11" t="n">
        <v>6</v>
      </c>
      <c r="B7" s="12" t="n">
        <f aca="false">Overview!$B$4+A7-1</f>
        <v>46305</v>
      </c>
      <c r="C7" s="13" t="str">
        <f aca="false">TEXT(B7,"ddd")</f>
        <v>Sat</v>
      </c>
      <c r="D7" s="13" t="n">
        <v>1</v>
      </c>
      <c r="E7" s="14" t="s">
        <v>37</v>
      </c>
      <c r="F7" s="14" t="s">
        <v>51</v>
      </c>
      <c r="G7" s="14" t="s">
        <v>52</v>
      </c>
      <c r="H7" s="14" t="s">
        <v>53</v>
      </c>
      <c r="I7" s="13" t="n">
        <f aca="false">COUNTIFS('DSA Problems'!A:A,A7,'DSA Problems'!K:K,"Done")</f>
        <v>0</v>
      </c>
      <c r="J7" s="15" t="s">
        <v>41</v>
      </c>
      <c r="K7" s="15" t="s">
        <v>41</v>
      </c>
      <c r="L7" s="15" t="s">
        <v>41</v>
      </c>
      <c r="M7" s="13" t="str">
        <f aca="false">IF(AND(I7=2,J7="Yes",K7="Yes",L7="Yes"),"Complete",IF(OR(I7&gt;0,J7="Yes",K7="Yes",L7="Yes"),"In progress","Not started"))</f>
        <v>Not started</v>
      </c>
      <c r="N7" s="14"/>
    </row>
    <row r="8" customFormat="false" ht="23.85" hidden="false" customHeight="false" outlineLevel="0" collapsed="false">
      <c r="A8" s="11" t="n">
        <v>7</v>
      </c>
      <c r="B8" s="12" t="n">
        <f aca="false">Overview!$B$4+A8-1</f>
        <v>46306</v>
      </c>
      <c r="C8" s="13" t="str">
        <f aca="false">TEXT(B8,"ddd")</f>
        <v>Sun</v>
      </c>
      <c r="D8" s="13" t="n">
        <v>1</v>
      </c>
      <c r="E8" s="14" t="s">
        <v>37</v>
      </c>
      <c r="F8" s="14" t="s">
        <v>54</v>
      </c>
      <c r="G8" s="14" t="s">
        <v>55</v>
      </c>
      <c r="H8" s="14" t="s">
        <v>53</v>
      </c>
      <c r="I8" s="13" t="n">
        <f aca="false">COUNTIFS('DSA Problems'!A:A,A8,'DSA Problems'!K:K,"Done")</f>
        <v>0</v>
      </c>
      <c r="J8" s="15" t="s">
        <v>41</v>
      </c>
      <c r="K8" s="15" t="s">
        <v>41</v>
      </c>
      <c r="L8" s="15" t="s">
        <v>41</v>
      </c>
      <c r="M8" s="13" t="str">
        <f aca="false">IF(AND(I8=2,J8="Yes",K8="Yes",L8="Yes"),"Complete",IF(OR(I8&gt;0,J8="Yes",K8="Yes",L8="Yes"),"In progress","Not started"))</f>
        <v>Not started</v>
      </c>
      <c r="N8" s="14" t="s">
        <v>56</v>
      </c>
    </row>
    <row r="9" customFormat="false" ht="23.85" hidden="false" customHeight="false" outlineLevel="0" collapsed="false">
      <c r="A9" s="16" t="n">
        <v>8</v>
      </c>
      <c r="B9" s="17" t="n">
        <f aca="false">Overview!$B$4+A9-1</f>
        <v>46307</v>
      </c>
      <c r="C9" s="18" t="str">
        <f aca="false">TEXT(B9,"ddd")</f>
        <v>Mon</v>
      </c>
      <c r="D9" s="18" t="n">
        <v>2</v>
      </c>
      <c r="E9" s="19" t="s">
        <v>57</v>
      </c>
      <c r="F9" s="19" t="s">
        <v>58</v>
      </c>
      <c r="G9" s="19" t="s">
        <v>59</v>
      </c>
      <c r="H9" s="19" t="s">
        <v>53</v>
      </c>
      <c r="I9" s="18" t="n">
        <f aca="false">COUNTIFS('DSA Problems'!A:A,A9,'DSA Problems'!K:K,"Done")</f>
        <v>0</v>
      </c>
      <c r="J9" s="20" t="s">
        <v>41</v>
      </c>
      <c r="K9" s="20" t="s">
        <v>41</v>
      </c>
      <c r="L9" s="20" t="s">
        <v>41</v>
      </c>
      <c r="M9" s="18" t="str">
        <f aca="false">IF(AND(I9=2,J9="Yes",K9="Yes",L9="Yes"),"Complete",IF(OR(I9&gt;0,J9="Yes",K9="Yes",L9="Yes"),"In progress","Not started"))</f>
        <v>Not started</v>
      </c>
      <c r="N9" s="19"/>
    </row>
    <row r="10" customFormat="false" ht="23.85" hidden="false" customHeight="false" outlineLevel="0" collapsed="false">
      <c r="A10" s="16" t="n">
        <v>9</v>
      </c>
      <c r="B10" s="17" t="n">
        <f aca="false">Overview!$B$4+A10-1</f>
        <v>46308</v>
      </c>
      <c r="C10" s="18" t="str">
        <f aca="false">TEXT(B10,"ddd")</f>
        <v>Tue</v>
      </c>
      <c r="D10" s="18" t="n">
        <v>2</v>
      </c>
      <c r="E10" s="19" t="s">
        <v>57</v>
      </c>
      <c r="F10" s="19" t="s">
        <v>60</v>
      </c>
      <c r="G10" s="19" t="s">
        <v>61</v>
      </c>
      <c r="H10" s="19" t="s">
        <v>62</v>
      </c>
      <c r="I10" s="18" t="n">
        <f aca="false">COUNTIFS('DSA Problems'!A:A,A10,'DSA Problems'!K:K,"Done")</f>
        <v>0</v>
      </c>
      <c r="J10" s="20" t="s">
        <v>41</v>
      </c>
      <c r="K10" s="20" t="s">
        <v>41</v>
      </c>
      <c r="L10" s="20" t="s">
        <v>41</v>
      </c>
      <c r="M10" s="18" t="str">
        <f aca="false">IF(AND(I10=2,J10="Yes",K10="Yes",L10="Yes"),"Complete",IF(OR(I10&gt;0,J10="Yes",K10="Yes",L10="Yes"),"In progress","Not started"))</f>
        <v>Not started</v>
      </c>
      <c r="N10" s="19"/>
    </row>
    <row r="11" customFormat="false" ht="23.85" hidden="false" customHeight="false" outlineLevel="0" collapsed="false">
      <c r="A11" s="16" t="n">
        <v>10</v>
      </c>
      <c r="B11" s="17" t="n">
        <f aca="false">Overview!$B$4+A11-1</f>
        <v>46309</v>
      </c>
      <c r="C11" s="18" t="str">
        <f aca="false">TEXT(B11,"ddd")</f>
        <v>Wed</v>
      </c>
      <c r="D11" s="18" t="n">
        <v>2</v>
      </c>
      <c r="E11" s="19" t="s">
        <v>57</v>
      </c>
      <c r="F11" s="19" t="s">
        <v>63</v>
      </c>
      <c r="G11" s="19" t="s">
        <v>59</v>
      </c>
      <c r="H11" s="19" t="s">
        <v>62</v>
      </c>
      <c r="I11" s="18" t="n">
        <f aca="false">COUNTIFS('DSA Problems'!A:A,A11,'DSA Problems'!K:K,"Done")</f>
        <v>0</v>
      </c>
      <c r="J11" s="20" t="s">
        <v>41</v>
      </c>
      <c r="K11" s="20" t="s">
        <v>41</v>
      </c>
      <c r="L11" s="20" t="s">
        <v>41</v>
      </c>
      <c r="M11" s="18" t="str">
        <f aca="false">IF(AND(I11=2,J11="Yes",K11="Yes",L11="Yes"),"Complete",IF(OR(I11&gt;0,J11="Yes",K11="Yes",L11="Yes"),"In progress","Not started"))</f>
        <v>Not started</v>
      </c>
      <c r="N11" s="19"/>
    </row>
    <row r="12" customFormat="false" ht="23.85" hidden="false" customHeight="false" outlineLevel="0" collapsed="false">
      <c r="A12" s="16" t="n">
        <v>11</v>
      </c>
      <c r="B12" s="17" t="n">
        <f aca="false">Overview!$B$4+A12-1</f>
        <v>46310</v>
      </c>
      <c r="C12" s="18" t="str">
        <f aca="false">TEXT(B12,"ddd")</f>
        <v>Thu</v>
      </c>
      <c r="D12" s="18" t="n">
        <v>2</v>
      </c>
      <c r="E12" s="19" t="s">
        <v>57</v>
      </c>
      <c r="F12" s="19" t="s">
        <v>64</v>
      </c>
      <c r="G12" s="19" t="s">
        <v>65</v>
      </c>
      <c r="H12" s="19" t="s">
        <v>62</v>
      </c>
      <c r="I12" s="18" t="n">
        <f aca="false">COUNTIFS('DSA Problems'!A:A,A12,'DSA Problems'!K:K,"Done")</f>
        <v>0</v>
      </c>
      <c r="J12" s="20" t="s">
        <v>41</v>
      </c>
      <c r="K12" s="20" t="s">
        <v>41</v>
      </c>
      <c r="L12" s="20" t="s">
        <v>41</v>
      </c>
      <c r="M12" s="18" t="str">
        <f aca="false">IF(AND(I12=2,J12="Yes",K12="Yes",L12="Yes"),"Complete",IF(OR(I12&gt;0,J12="Yes",K12="Yes",L12="Yes"),"In progress","Not started"))</f>
        <v>Not started</v>
      </c>
      <c r="N12" s="19"/>
    </row>
    <row r="13" customFormat="false" ht="23.85" hidden="false" customHeight="false" outlineLevel="0" collapsed="false">
      <c r="A13" s="16" t="n">
        <v>12</v>
      </c>
      <c r="B13" s="17" t="n">
        <f aca="false">Overview!$B$4+A13-1</f>
        <v>46311</v>
      </c>
      <c r="C13" s="18" t="str">
        <f aca="false">TEXT(B13,"ddd")</f>
        <v>Fri</v>
      </c>
      <c r="D13" s="18" t="n">
        <v>2</v>
      </c>
      <c r="E13" s="19" t="s">
        <v>57</v>
      </c>
      <c r="F13" s="19" t="s">
        <v>66</v>
      </c>
      <c r="G13" s="19" t="s">
        <v>59</v>
      </c>
      <c r="H13" s="19" t="s">
        <v>67</v>
      </c>
      <c r="I13" s="18" t="n">
        <f aca="false">COUNTIFS('DSA Problems'!A:A,A13,'DSA Problems'!K:K,"Done")</f>
        <v>0</v>
      </c>
      <c r="J13" s="20" t="s">
        <v>41</v>
      </c>
      <c r="K13" s="20" t="s">
        <v>41</v>
      </c>
      <c r="L13" s="20" t="s">
        <v>41</v>
      </c>
      <c r="M13" s="18" t="str">
        <f aca="false">IF(AND(I13=2,J13="Yes",K13="Yes",L13="Yes"),"Complete",IF(OR(I13&gt;0,J13="Yes",K13="Yes",L13="Yes"),"In progress","Not started"))</f>
        <v>Not started</v>
      </c>
      <c r="N13" s="19"/>
    </row>
    <row r="14" customFormat="false" ht="15" hidden="false" customHeight="false" outlineLevel="0" collapsed="false">
      <c r="A14" s="16" t="n">
        <v>13</v>
      </c>
      <c r="B14" s="17" t="n">
        <f aca="false">Overview!$B$4+A14-1</f>
        <v>46312</v>
      </c>
      <c r="C14" s="18" t="str">
        <f aca="false">TEXT(B14,"ddd")</f>
        <v>Sat</v>
      </c>
      <c r="D14" s="18" t="n">
        <v>2</v>
      </c>
      <c r="E14" s="19" t="s">
        <v>57</v>
      </c>
      <c r="F14" s="19" t="s">
        <v>68</v>
      </c>
      <c r="G14" s="19" t="s">
        <v>69</v>
      </c>
      <c r="H14" s="19" t="s">
        <v>67</v>
      </c>
      <c r="I14" s="18" t="n">
        <f aca="false">COUNTIFS('DSA Problems'!A:A,A14,'DSA Problems'!K:K,"Done")</f>
        <v>0</v>
      </c>
      <c r="J14" s="20" t="s">
        <v>41</v>
      </c>
      <c r="K14" s="20" t="s">
        <v>41</v>
      </c>
      <c r="L14" s="20" t="s">
        <v>41</v>
      </c>
      <c r="M14" s="18" t="str">
        <f aca="false">IF(AND(I14=2,J14="Yes",K14="Yes",L14="Yes"),"Complete",IF(OR(I14&gt;0,J14="Yes",K14="Yes",L14="Yes"),"In progress","Not started"))</f>
        <v>Not started</v>
      </c>
      <c r="N14" s="19"/>
    </row>
    <row r="15" customFormat="false" ht="23.85" hidden="false" customHeight="false" outlineLevel="0" collapsed="false">
      <c r="A15" s="16" t="n">
        <v>14</v>
      </c>
      <c r="B15" s="17" t="n">
        <f aca="false">Overview!$B$4+A15-1</f>
        <v>46313</v>
      </c>
      <c r="C15" s="18" t="str">
        <f aca="false">TEXT(B15,"ddd")</f>
        <v>Sun</v>
      </c>
      <c r="D15" s="18" t="n">
        <v>2</v>
      </c>
      <c r="E15" s="19" t="s">
        <v>57</v>
      </c>
      <c r="F15" s="19" t="s">
        <v>70</v>
      </c>
      <c r="G15" s="19" t="s">
        <v>71</v>
      </c>
      <c r="H15" s="19" t="s">
        <v>67</v>
      </c>
      <c r="I15" s="18" t="n">
        <f aca="false">COUNTIFS('DSA Problems'!A:A,A15,'DSA Problems'!K:K,"Done")</f>
        <v>0</v>
      </c>
      <c r="J15" s="20" t="s">
        <v>41</v>
      </c>
      <c r="K15" s="20" t="s">
        <v>41</v>
      </c>
      <c r="L15" s="20" t="s">
        <v>41</v>
      </c>
      <c r="M15" s="18" t="str">
        <f aca="false">IF(AND(I15=2,J15="Yes",K15="Yes",L15="Yes"),"Complete",IF(OR(I15&gt;0,J15="Yes",K15="Yes",L15="Yes"),"In progress","Not started"))</f>
        <v>Not started</v>
      </c>
      <c r="N15" s="19" t="s">
        <v>72</v>
      </c>
    </row>
    <row r="16" customFormat="false" ht="15" hidden="false" customHeight="false" outlineLevel="0" collapsed="false">
      <c r="A16" s="21" t="n">
        <v>15</v>
      </c>
      <c r="B16" s="22" t="n">
        <f aca="false">Overview!$B$4+A16-1</f>
        <v>46314</v>
      </c>
      <c r="C16" s="23" t="str">
        <f aca="false">TEXT(B16,"ddd")</f>
        <v>Mon</v>
      </c>
      <c r="D16" s="23" t="n">
        <v>3</v>
      </c>
      <c r="E16" s="24" t="s">
        <v>73</v>
      </c>
      <c r="F16" s="24" t="s">
        <v>74</v>
      </c>
      <c r="G16" s="24" t="s">
        <v>59</v>
      </c>
      <c r="H16" s="24" t="s">
        <v>75</v>
      </c>
      <c r="I16" s="23" t="n">
        <f aca="false">COUNTIFS('DSA Problems'!A:A,A16,'DSA Problems'!K:K,"Done")</f>
        <v>0</v>
      </c>
      <c r="J16" s="25" t="s">
        <v>41</v>
      </c>
      <c r="K16" s="25" t="s">
        <v>41</v>
      </c>
      <c r="L16" s="25" t="s">
        <v>41</v>
      </c>
      <c r="M16" s="23" t="str">
        <f aca="false">IF(AND(I16=2,J16="Yes",K16="Yes",L16="Yes"),"Complete",IF(OR(I16&gt;0,J16="Yes",K16="Yes",L16="Yes"),"In progress","Not started"))</f>
        <v>Not started</v>
      </c>
      <c r="N16" s="24"/>
    </row>
    <row r="17" customFormat="false" ht="23.85" hidden="false" customHeight="false" outlineLevel="0" collapsed="false">
      <c r="A17" s="21" t="n">
        <v>16</v>
      </c>
      <c r="B17" s="22" t="n">
        <f aca="false">Overview!$B$4+A17-1</f>
        <v>46315</v>
      </c>
      <c r="C17" s="23" t="str">
        <f aca="false">TEXT(B17,"ddd")</f>
        <v>Tue</v>
      </c>
      <c r="D17" s="23" t="n">
        <v>3</v>
      </c>
      <c r="E17" s="24" t="s">
        <v>73</v>
      </c>
      <c r="F17" s="24" t="s">
        <v>76</v>
      </c>
      <c r="G17" s="24" t="s">
        <v>71</v>
      </c>
      <c r="H17" s="24" t="s">
        <v>75</v>
      </c>
      <c r="I17" s="23" t="n">
        <f aca="false">COUNTIFS('DSA Problems'!A:A,A17,'DSA Problems'!K:K,"Done")</f>
        <v>0</v>
      </c>
      <c r="J17" s="25" t="s">
        <v>41</v>
      </c>
      <c r="K17" s="25" t="s">
        <v>41</v>
      </c>
      <c r="L17" s="25" t="s">
        <v>41</v>
      </c>
      <c r="M17" s="23" t="str">
        <f aca="false">IF(AND(I17=2,J17="Yes",K17="Yes",L17="Yes"),"Complete",IF(OR(I17&gt;0,J17="Yes",K17="Yes",L17="Yes"),"In progress","Not started"))</f>
        <v>Not started</v>
      </c>
      <c r="N17" s="24"/>
    </row>
    <row r="18" customFormat="false" ht="23.85" hidden="false" customHeight="false" outlineLevel="0" collapsed="false">
      <c r="A18" s="21" t="n">
        <v>17</v>
      </c>
      <c r="B18" s="22" t="n">
        <f aca="false">Overview!$B$4+A18-1</f>
        <v>46316</v>
      </c>
      <c r="C18" s="23" t="str">
        <f aca="false">TEXT(B18,"ddd")</f>
        <v>Wed</v>
      </c>
      <c r="D18" s="23" t="n">
        <v>3</v>
      </c>
      <c r="E18" s="24" t="s">
        <v>73</v>
      </c>
      <c r="F18" s="24" t="s">
        <v>77</v>
      </c>
      <c r="G18" s="24" t="s">
        <v>59</v>
      </c>
      <c r="H18" s="24" t="s">
        <v>75</v>
      </c>
      <c r="I18" s="23" t="n">
        <f aca="false">COUNTIFS('DSA Problems'!A:A,A18,'DSA Problems'!K:K,"Done")</f>
        <v>0</v>
      </c>
      <c r="J18" s="25" t="s">
        <v>41</v>
      </c>
      <c r="K18" s="25" t="s">
        <v>41</v>
      </c>
      <c r="L18" s="25" t="s">
        <v>41</v>
      </c>
      <c r="M18" s="23" t="str">
        <f aca="false">IF(AND(I18=2,J18="Yes",K18="Yes",L18="Yes"),"Complete",IF(OR(I18&gt;0,J18="Yes",K18="Yes",L18="Yes"),"In progress","Not started"))</f>
        <v>Not started</v>
      </c>
      <c r="N18" s="24"/>
    </row>
    <row r="19" customFormat="false" ht="23.85" hidden="false" customHeight="false" outlineLevel="0" collapsed="false">
      <c r="A19" s="21" t="n">
        <v>18</v>
      </c>
      <c r="B19" s="22" t="n">
        <f aca="false">Overview!$B$4+A19-1</f>
        <v>46317</v>
      </c>
      <c r="C19" s="23" t="str">
        <f aca="false">TEXT(B19,"ddd")</f>
        <v>Thu</v>
      </c>
      <c r="D19" s="23" t="n">
        <v>3</v>
      </c>
      <c r="E19" s="24" t="s">
        <v>73</v>
      </c>
      <c r="F19" s="24" t="s">
        <v>78</v>
      </c>
      <c r="G19" s="24" t="s">
        <v>59</v>
      </c>
      <c r="H19" s="24" t="s">
        <v>79</v>
      </c>
      <c r="I19" s="23" t="n">
        <f aca="false">COUNTIFS('DSA Problems'!A:A,A19,'DSA Problems'!K:K,"Done")</f>
        <v>0</v>
      </c>
      <c r="J19" s="25" t="s">
        <v>41</v>
      </c>
      <c r="K19" s="25" t="s">
        <v>41</v>
      </c>
      <c r="L19" s="25" t="s">
        <v>41</v>
      </c>
      <c r="M19" s="23" t="str">
        <f aca="false">IF(AND(I19=2,J19="Yes",K19="Yes",L19="Yes"),"Complete",IF(OR(I19&gt;0,J19="Yes",K19="Yes",L19="Yes"),"In progress","Not started"))</f>
        <v>Not started</v>
      </c>
      <c r="N19" s="24"/>
    </row>
    <row r="20" customFormat="false" ht="23.85" hidden="false" customHeight="false" outlineLevel="0" collapsed="false">
      <c r="A20" s="21" t="n">
        <v>19</v>
      </c>
      <c r="B20" s="22" t="n">
        <f aca="false">Overview!$B$4+A20-1</f>
        <v>46318</v>
      </c>
      <c r="C20" s="23" t="str">
        <f aca="false">TEXT(B20,"ddd")</f>
        <v>Fri</v>
      </c>
      <c r="D20" s="23" t="n">
        <v>3</v>
      </c>
      <c r="E20" s="24" t="s">
        <v>73</v>
      </c>
      <c r="F20" s="24" t="s">
        <v>80</v>
      </c>
      <c r="G20" s="24" t="s">
        <v>81</v>
      </c>
      <c r="H20" s="24" t="s">
        <v>79</v>
      </c>
      <c r="I20" s="23" t="n">
        <f aca="false">COUNTIFS('DSA Problems'!A:A,A20,'DSA Problems'!K:K,"Done")</f>
        <v>0</v>
      </c>
      <c r="J20" s="25" t="s">
        <v>41</v>
      </c>
      <c r="K20" s="25" t="s">
        <v>41</v>
      </c>
      <c r="L20" s="25" t="s">
        <v>41</v>
      </c>
      <c r="M20" s="23" t="str">
        <f aca="false">IF(AND(I20=2,J20="Yes",K20="Yes",L20="Yes"),"Complete",IF(OR(I20&gt;0,J20="Yes",K20="Yes",L20="Yes"),"In progress","Not started"))</f>
        <v>Not started</v>
      </c>
      <c r="N20" s="24"/>
    </row>
    <row r="21" customFormat="false" ht="35.05" hidden="false" customHeight="false" outlineLevel="0" collapsed="false">
      <c r="A21" s="21" t="n">
        <v>20</v>
      </c>
      <c r="B21" s="22" t="n">
        <f aca="false">Overview!$B$4+A21-1</f>
        <v>46319</v>
      </c>
      <c r="C21" s="23" t="str">
        <f aca="false">TEXT(B21,"ddd")</f>
        <v>Sat</v>
      </c>
      <c r="D21" s="23" t="n">
        <v>3</v>
      </c>
      <c r="E21" s="24" t="s">
        <v>82</v>
      </c>
      <c r="F21" s="24" t="s">
        <v>83</v>
      </c>
      <c r="G21" s="24" t="s">
        <v>84</v>
      </c>
      <c r="H21" s="24" t="s">
        <v>79</v>
      </c>
      <c r="I21" s="23" t="n">
        <f aca="false">COUNTIFS('DSA Problems'!A:A,A21,'DSA Problems'!K:K,"Done")</f>
        <v>0</v>
      </c>
      <c r="J21" s="25" t="s">
        <v>41</v>
      </c>
      <c r="K21" s="25" t="s">
        <v>41</v>
      </c>
      <c r="L21" s="25" t="s">
        <v>41</v>
      </c>
      <c r="M21" s="23" t="str">
        <f aca="false">IF(AND(I21=2,J21="Yes",K21="Yes",L21="Yes"),"Complete",IF(OR(I21&gt;0,J21="Yes",K21="Yes",L21="Yes"),"In progress","Not started"))</f>
        <v>Not started</v>
      </c>
      <c r="N21" s="24"/>
    </row>
    <row r="22" customFormat="false" ht="23.85" hidden="false" customHeight="false" outlineLevel="0" collapsed="false">
      <c r="A22" s="21" t="n">
        <v>21</v>
      </c>
      <c r="B22" s="22" t="n">
        <f aca="false">Overview!$B$4+A22-1</f>
        <v>46320</v>
      </c>
      <c r="C22" s="23" t="str">
        <f aca="false">TEXT(B22,"ddd")</f>
        <v>Sun</v>
      </c>
      <c r="D22" s="23" t="n">
        <v>3</v>
      </c>
      <c r="E22" s="24" t="s">
        <v>82</v>
      </c>
      <c r="F22" s="24" t="s">
        <v>85</v>
      </c>
      <c r="G22" s="24" t="s">
        <v>84</v>
      </c>
      <c r="H22" s="24" t="s">
        <v>86</v>
      </c>
      <c r="I22" s="23" t="n">
        <f aca="false">COUNTIFS('DSA Problems'!A:A,A22,'DSA Problems'!K:K,"Done")</f>
        <v>0</v>
      </c>
      <c r="J22" s="25" t="s">
        <v>41</v>
      </c>
      <c r="K22" s="25" t="s">
        <v>41</v>
      </c>
      <c r="L22" s="25" t="s">
        <v>41</v>
      </c>
      <c r="M22" s="23" t="str">
        <f aca="false">IF(AND(I22=2,J22="Yes",K22="Yes",L22="Yes"),"Complete",IF(OR(I22&gt;0,J22="Yes",K22="Yes",L22="Yes"),"In progress","Not started"))</f>
        <v>Not started</v>
      </c>
      <c r="N22" s="24" t="s">
        <v>87</v>
      </c>
    </row>
    <row r="23" customFormat="false" ht="23.85" hidden="false" customHeight="false" outlineLevel="0" collapsed="false">
      <c r="A23" s="26" t="n">
        <v>22</v>
      </c>
      <c r="B23" s="27" t="n">
        <f aca="false">Overview!$B$4+A23-1</f>
        <v>46321</v>
      </c>
      <c r="C23" s="28" t="str">
        <f aca="false">TEXT(B23,"ddd")</f>
        <v>Mon</v>
      </c>
      <c r="D23" s="28" t="n">
        <v>4</v>
      </c>
      <c r="E23" s="29" t="s">
        <v>88</v>
      </c>
      <c r="F23" s="29" t="s">
        <v>89</v>
      </c>
      <c r="G23" s="29" t="s">
        <v>90</v>
      </c>
      <c r="H23" s="29" t="s">
        <v>86</v>
      </c>
      <c r="I23" s="28" t="n">
        <f aca="false">COUNTIFS('DSA Problems'!A:A,A23,'DSA Problems'!K:K,"Done")</f>
        <v>0</v>
      </c>
      <c r="J23" s="30" t="s">
        <v>41</v>
      </c>
      <c r="K23" s="30" t="s">
        <v>41</v>
      </c>
      <c r="L23" s="30" t="s">
        <v>41</v>
      </c>
      <c r="M23" s="28" t="str">
        <f aca="false">IF(AND(I23=2,J23="Yes",K23="Yes",L23="Yes"),"Complete",IF(OR(I23&gt;0,J23="Yes",K23="Yes",L23="Yes"),"In progress","Not started"))</f>
        <v>Not started</v>
      </c>
      <c r="N23" s="29"/>
    </row>
    <row r="24" customFormat="false" ht="23.85" hidden="false" customHeight="false" outlineLevel="0" collapsed="false">
      <c r="A24" s="26" t="n">
        <v>23</v>
      </c>
      <c r="B24" s="27" t="n">
        <f aca="false">Overview!$B$4+A24-1</f>
        <v>46322</v>
      </c>
      <c r="C24" s="28" t="str">
        <f aca="false">TEXT(B24,"ddd")</f>
        <v>Tue</v>
      </c>
      <c r="D24" s="28" t="n">
        <v>4</v>
      </c>
      <c r="E24" s="29" t="s">
        <v>91</v>
      </c>
      <c r="F24" s="29" t="s">
        <v>92</v>
      </c>
      <c r="G24" s="29" t="s">
        <v>71</v>
      </c>
      <c r="H24" s="29" t="s">
        <v>86</v>
      </c>
      <c r="I24" s="28" t="n">
        <f aca="false">COUNTIFS('DSA Problems'!A:A,A24,'DSA Problems'!K:K,"Done")</f>
        <v>0</v>
      </c>
      <c r="J24" s="30" t="s">
        <v>41</v>
      </c>
      <c r="K24" s="30" t="s">
        <v>41</v>
      </c>
      <c r="L24" s="30" t="s">
        <v>41</v>
      </c>
      <c r="M24" s="28" t="str">
        <f aca="false">IF(AND(I24=2,J24="Yes",K24="Yes",L24="Yes"),"Complete",IF(OR(I24&gt;0,J24="Yes",K24="Yes",L24="Yes"),"In progress","Not started"))</f>
        <v>Not started</v>
      </c>
      <c r="N24" s="29"/>
    </row>
    <row r="25" customFormat="false" ht="35.05" hidden="false" customHeight="false" outlineLevel="0" collapsed="false">
      <c r="A25" s="26" t="n">
        <v>24</v>
      </c>
      <c r="B25" s="27" t="n">
        <f aca="false">Overview!$B$4+A25-1</f>
        <v>46323</v>
      </c>
      <c r="C25" s="28" t="str">
        <f aca="false">TEXT(B25,"ddd")</f>
        <v>Wed</v>
      </c>
      <c r="D25" s="28" t="n">
        <v>4</v>
      </c>
      <c r="E25" s="29" t="s">
        <v>93</v>
      </c>
      <c r="F25" s="29" t="s">
        <v>94</v>
      </c>
      <c r="G25" s="29" t="s">
        <v>95</v>
      </c>
      <c r="H25" s="29" t="s">
        <v>96</v>
      </c>
      <c r="I25" s="28" t="n">
        <f aca="false">COUNTIFS('DSA Problems'!A:A,A25,'DSA Problems'!K:K,"Done")</f>
        <v>0</v>
      </c>
      <c r="J25" s="30" t="s">
        <v>41</v>
      </c>
      <c r="K25" s="30" t="s">
        <v>41</v>
      </c>
      <c r="L25" s="30" t="s">
        <v>41</v>
      </c>
      <c r="M25" s="28" t="str">
        <f aca="false">IF(AND(I25=2,J25="Yes",K25="Yes",L25="Yes"),"Complete",IF(OR(I25&gt;0,J25="Yes",K25="Yes",L25="Yes"),"In progress","Not started"))</f>
        <v>Not started</v>
      </c>
      <c r="N25" s="29"/>
    </row>
    <row r="26" customFormat="false" ht="23.85" hidden="false" customHeight="false" outlineLevel="0" collapsed="false">
      <c r="A26" s="26" t="n">
        <v>25</v>
      </c>
      <c r="B26" s="27" t="n">
        <f aca="false">Overview!$B$4+A26-1</f>
        <v>46324</v>
      </c>
      <c r="C26" s="28" t="str">
        <f aca="false">TEXT(B26,"ddd")</f>
        <v>Thu</v>
      </c>
      <c r="D26" s="28" t="n">
        <v>4</v>
      </c>
      <c r="E26" s="29" t="s">
        <v>97</v>
      </c>
      <c r="F26" s="29" t="s">
        <v>98</v>
      </c>
      <c r="G26" s="29" t="s">
        <v>99</v>
      </c>
      <c r="H26" s="29" t="s">
        <v>96</v>
      </c>
      <c r="I26" s="28" t="n">
        <f aca="false">COUNTIFS('DSA Problems'!A:A,A26,'DSA Problems'!K:K,"Done")</f>
        <v>0</v>
      </c>
      <c r="J26" s="30" t="s">
        <v>41</v>
      </c>
      <c r="K26" s="30" t="s">
        <v>41</v>
      </c>
      <c r="L26" s="30" t="s">
        <v>41</v>
      </c>
      <c r="M26" s="28" t="str">
        <f aca="false">IF(AND(I26=2,J26="Yes",K26="Yes",L26="Yes"),"Complete",IF(OR(I26&gt;0,J26="Yes",K26="Yes",L26="Yes"),"In progress","Not started"))</f>
        <v>Not started</v>
      </c>
      <c r="N26" s="29"/>
    </row>
    <row r="27" customFormat="false" ht="23.85" hidden="false" customHeight="false" outlineLevel="0" collapsed="false">
      <c r="A27" s="26" t="n">
        <v>26</v>
      </c>
      <c r="B27" s="27" t="n">
        <f aca="false">Overview!$B$4+A27-1</f>
        <v>46325</v>
      </c>
      <c r="C27" s="28" t="str">
        <f aca="false">TEXT(B27,"ddd")</f>
        <v>Fri</v>
      </c>
      <c r="D27" s="28" t="n">
        <v>4</v>
      </c>
      <c r="E27" s="29" t="s">
        <v>97</v>
      </c>
      <c r="F27" s="29" t="s">
        <v>100</v>
      </c>
      <c r="G27" s="29" t="s">
        <v>101</v>
      </c>
      <c r="H27" s="29" t="s">
        <v>102</v>
      </c>
      <c r="I27" s="28" t="n">
        <f aca="false">COUNTIFS('DSA Problems'!A:A,A27,'DSA Problems'!K:K,"Done")</f>
        <v>0</v>
      </c>
      <c r="J27" s="30" t="s">
        <v>41</v>
      </c>
      <c r="K27" s="30" t="s">
        <v>41</v>
      </c>
      <c r="L27" s="30" t="s">
        <v>41</v>
      </c>
      <c r="M27" s="28" t="str">
        <f aca="false">IF(AND(I27=2,J27="Yes",K27="Yes",L27="Yes"),"Complete",IF(OR(I27&gt;0,J27="Yes",K27="Yes",L27="Yes"),"In progress","Not started"))</f>
        <v>Not started</v>
      </c>
      <c r="N27" s="29" t="s">
        <v>103</v>
      </c>
    </row>
    <row r="28" customFormat="false" ht="35.05" hidden="false" customHeight="false" outlineLevel="0" collapsed="false">
      <c r="A28" s="26" t="n">
        <v>27</v>
      </c>
      <c r="B28" s="27" t="n">
        <f aca="false">Overview!$B$4+A28-1</f>
        <v>46326</v>
      </c>
      <c r="C28" s="28" t="str">
        <f aca="false">TEXT(B28,"ddd")</f>
        <v>Sat</v>
      </c>
      <c r="D28" s="28" t="n">
        <v>4</v>
      </c>
      <c r="E28" s="29" t="s">
        <v>104</v>
      </c>
      <c r="F28" s="29" t="s">
        <v>105</v>
      </c>
      <c r="G28" s="29" t="s">
        <v>106</v>
      </c>
      <c r="H28" s="29" t="s">
        <v>107</v>
      </c>
      <c r="I28" s="28" t="n">
        <f aca="false">COUNTIFS('DSA Problems'!A:A,A28,'DSA Problems'!K:K,"Done")</f>
        <v>0</v>
      </c>
      <c r="J28" s="30" t="s">
        <v>41</v>
      </c>
      <c r="K28" s="30" t="s">
        <v>41</v>
      </c>
      <c r="L28" s="30" t="s">
        <v>41</v>
      </c>
      <c r="M28" s="28" t="str">
        <f aca="false">IF(AND(I28=2,J28="Yes",K28="Yes",L28="Yes"),"Complete",IF(OR(I28&gt;0,J28="Yes",K28="Yes",L28="Yes"),"In progress","Not started"))</f>
        <v>Not started</v>
      </c>
      <c r="N28" s="29" t="s">
        <v>108</v>
      </c>
    </row>
  </sheetData>
  <autoFilter ref="A1:N28"/>
  <conditionalFormatting sqref="M2:M28">
    <cfRule type="expression" priority="2" aboveAverage="0" equalAverage="0" bottom="0" percent="0" rank="0" text="" dxfId="8">
      <formula>$M2="Complete"</formula>
    </cfRule>
    <cfRule type="expression" priority="3" aboveAverage="0" equalAverage="0" bottom="0" percent="0" rank="0" text="" dxfId="9">
      <formula>$M2="In progress"</formula>
    </cfRule>
  </conditionalFormatting>
  <dataValidations count="1">
    <dataValidation allowBlank="true" errorStyle="stop" operator="between" showDropDown="false" showErrorMessage="false" showInputMessage="false" sqref="J2:L28"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0"/>
    <col collapsed="false" customWidth="true" hidden="false" outlineLevel="0" max="4" min="4" style="0" width="44"/>
    <col collapsed="false" customWidth="true" hidden="false" outlineLevel="0" max="6" min="5" style="0" width="11"/>
    <col collapsed="false" customWidth="true" hidden="false" outlineLevel="0" max="7" min="7" style="0" width="32"/>
    <col collapsed="false" customWidth="true" hidden="false" outlineLevel="0" max="8" min="8" style="0" width="12"/>
    <col collapsed="false" customWidth="true" hidden="false" outlineLevel="0" max="9" min="9" style="0" width="52"/>
    <col collapsed="false" customWidth="true" hidden="false" outlineLevel="0" max="10" min="10" style="0" width="10"/>
    <col collapsed="false" customWidth="true" hidden="false" outlineLevel="0" max="11" min="11" style="0" width="13"/>
    <col collapsed="false" customWidth="true" hidden="false" outlineLevel="0" max="12" min="12" style="0" width="40"/>
  </cols>
  <sheetData>
    <row r="1" customFormat="false" ht="30" hidden="false" customHeight="true" outlineLevel="0" collapsed="false">
      <c r="A1" s="5" t="s">
        <v>23</v>
      </c>
      <c r="B1" s="5" t="s">
        <v>24</v>
      </c>
      <c r="C1" s="5" t="s">
        <v>109</v>
      </c>
      <c r="D1" s="5" t="s">
        <v>110</v>
      </c>
      <c r="E1" s="5" t="s">
        <v>111</v>
      </c>
      <c r="F1" s="5" t="s">
        <v>112</v>
      </c>
      <c r="G1" s="5" t="s">
        <v>113</v>
      </c>
      <c r="H1" s="5" t="s">
        <v>114</v>
      </c>
      <c r="I1" s="5" t="s">
        <v>115</v>
      </c>
      <c r="J1" s="5" t="s">
        <v>116</v>
      </c>
      <c r="K1" s="5" t="s">
        <v>117</v>
      </c>
      <c r="L1" s="5" t="s">
        <v>118</v>
      </c>
    </row>
    <row r="2" customFormat="false" ht="15" hidden="false" customHeight="false" outlineLevel="0" collapsed="false">
      <c r="A2" s="11" t="n">
        <v>1</v>
      </c>
      <c r="B2" s="31" t="n">
        <f aca="false">INDEX('Day Map'!$B$2:$B$28,MATCH(A2,'Day Map'!$A$2:$A$28,0))</f>
        <v>46300</v>
      </c>
      <c r="C2" s="13" t="s">
        <v>119</v>
      </c>
      <c r="D2" s="14" t="s">
        <v>120</v>
      </c>
      <c r="E2" s="13" t="n">
        <v>1</v>
      </c>
      <c r="F2" s="13" t="s">
        <v>121</v>
      </c>
      <c r="G2" s="14" t="s">
        <v>122</v>
      </c>
      <c r="H2" s="13" t="n">
        <v>15</v>
      </c>
      <c r="I2" s="14" t="s">
        <v>123</v>
      </c>
      <c r="J2" s="13" t="s">
        <v>124</v>
      </c>
      <c r="K2" s="15" t="s">
        <v>125</v>
      </c>
      <c r="L2" s="32"/>
    </row>
    <row r="3" customFormat="false" ht="15" hidden="false" customHeight="false" outlineLevel="0" collapsed="false">
      <c r="A3" s="11" t="n">
        <v>1</v>
      </c>
      <c r="B3" s="31" t="n">
        <f aca="false">INDEX('Day Map'!$B$2:$B$28,MATCH(A3,'Day Map'!$A$2:$A$28,0))</f>
        <v>46300</v>
      </c>
      <c r="C3" s="13" t="s">
        <v>126</v>
      </c>
      <c r="D3" s="14" t="s">
        <v>127</v>
      </c>
      <c r="E3" s="13" t="n">
        <v>217</v>
      </c>
      <c r="F3" s="13" t="s">
        <v>121</v>
      </c>
      <c r="G3" s="14" t="s">
        <v>128</v>
      </c>
      <c r="H3" s="13" t="n">
        <v>10</v>
      </c>
      <c r="I3" s="14" t="s">
        <v>129</v>
      </c>
      <c r="J3" s="13" t="s">
        <v>130</v>
      </c>
      <c r="K3" s="15" t="s">
        <v>125</v>
      </c>
      <c r="L3" s="32"/>
    </row>
    <row r="4" customFormat="false" ht="15" hidden="false" customHeight="false" outlineLevel="0" collapsed="false">
      <c r="A4" s="11" t="n">
        <v>2</v>
      </c>
      <c r="B4" s="31" t="n">
        <f aca="false">INDEX('Day Map'!$B$2:$B$28,MATCH(A4,'Day Map'!$A$2:$A$28,0))</f>
        <v>46301</v>
      </c>
      <c r="C4" s="13" t="s">
        <v>119</v>
      </c>
      <c r="D4" s="14" t="s">
        <v>131</v>
      </c>
      <c r="E4" s="13" t="n">
        <v>242</v>
      </c>
      <c r="F4" s="13" t="s">
        <v>121</v>
      </c>
      <c r="G4" s="14" t="s">
        <v>132</v>
      </c>
      <c r="H4" s="13" t="n">
        <v>10</v>
      </c>
      <c r="I4" s="14" t="s">
        <v>133</v>
      </c>
      <c r="J4" s="13" t="s">
        <v>124</v>
      </c>
      <c r="K4" s="15" t="s">
        <v>125</v>
      </c>
      <c r="L4" s="32"/>
    </row>
    <row r="5" customFormat="false" ht="15" hidden="false" customHeight="false" outlineLevel="0" collapsed="false">
      <c r="A5" s="11" t="n">
        <v>2</v>
      </c>
      <c r="B5" s="31" t="n">
        <f aca="false">INDEX('Day Map'!$B$2:$B$28,MATCH(A5,'Day Map'!$A$2:$A$28,0))</f>
        <v>46301</v>
      </c>
      <c r="C5" s="13" t="s">
        <v>126</v>
      </c>
      <c r="D5" s="14" t="s">
        <v>134</v>
      </c>
      <c r="E5" s="13" t="n">
        <v>169</v>
      </c>
      <c r="F5" s="13" t="s">
        <v>121</v>
      </c>
      <c r="G5" s="14" t="s">
        <v>135</v>
      </c>
      <c r="H5" s="13" t="n">
        <v>15</v>
      </c>
      <c r="I5" s="14" t="s">
        <v>136</v>
      </c>
      <c r="J5" s="13" t="s">
        <v>130</v>
      </c>
      <c r="K5" s="15" t="s">
        <v>125</v>
      </c>
      <c r="L5" s="32"/>
    </row>
    <row r="6" customFormat="false" ht="15" hidden="false" customHeight="false" outlineLevel="0" collapsed="false">
      <c r="A6" s="11" t="n">
        <v>3</v>
      </c>
      <c r="B6" s="31" t="n">
        <f aca="false">INDEX('Day Map'!$B$2:$B$28,MATCH(A6,'Day Map'!$A$2:$A$28,0))</f>
        <v>46302</v>
      </c>
      <c r="C6" s="13" t="s">
        <v>119</v>
      </c>
      <c r="D6" s="14" t="s">
        <v>137</v>
      </c>
      <c r="E6" s="13" t="n">
        <v>121</v>
      </c>
      <c r="F6" s="13" t="s">
        <v>121</v>
      </c>
      <c r="G6" s="14" t="s">
        <v>138</v>
      </c>
      <c r="H6" s="13" t="n">
        <v>15</v>
      </c>
      <c r="I6" s="14" t="s">
        <v>139</v>
      </c>
      <c r="J6" s="13" t="s">
        <v>124</v>
      </c>
      <c r="K6" s="15" t="s">
        <v>125</v>
      </c>
      <c r="L6" s="32"/>
    </row>
    <row r="7" customFormat="false" ht="15" hidden="false" customHeight="false" outlineLevel="0" collapsed="false">
      <c r="A7" s="11" t="n">
        <v>3</v>
      </c>
      <c r="B7" s="31" t="n">
        <f aca="false">INDEX('Day Map'!$B$2:$B$28,MATCH(A7,'Day Map'!$A$2:$A$28,0))</f>
        <v>46302</v>
      </c>
      <c r="C7" s="13" t="s">
        <v>126</v>
      </c>
      <c r="D7" s="14" t="s">
        <v>140</v>
      </c>
      <c r="E7" s="13" t="n">
        <v>53</v>
      </c>
      <c r="F7" s="13" t="s">
        <v>130</v>
      </c>
      <c r="G7" s="14" t="s">
        <v>141</v>
      </c>
      <c r="H7" s="13" t="n">
        <v>25</v>
      </c>
      <c r="I7" s="14" t="s">
        <v>142</v>
      </c>
      <c r="J7" s="13" t="s">
        <v>124</v>
      </c>
      <c r="K7" s="15" t="s">
        <v>125</v>
      </c>
      <c r="L7" s="32"/>
    </row>
    <row r="8" customFormat="false" ht="15" hidden="false" customHeight="false" outlineLevel="0" collapsed="false">
      <c r="A8" s="11" t="n">
        <v>4</v>
      </c>
      <c r="B8" s="31" t="n">
        <f aca="false">INDEX('Day Map'!$B$2:$B$28,MATCH(A8,'Day Map'!$A$2:$A$28,0))</f>
        <v>46303</v>
      </c>
      <c r="C8" s="13" t="s">
        <v>119</v>
      </c>
      <c r="D8" s="14" t="s">
        <v>143</v>
      </c>
      <c r="E8" s="13" t="n">
        <v>303</v>
      </c>
      <c r="F8" s="13" t="s">
        <v>121</v>
      </c>
      <c r="G8" s="14" t="s">
        <v>144</v>
      </c>
      <c r="H8" s="13" t="n">
        <v>15</v>
      </c>
      <c r="I8" s="14" t="s">
        <v>145</v>
      </c>
      <c r="J8" s="13" t="s">
        <v>124</v>
      </c>
      <c r="K8" s="15" t="s">
        <v>125</v>
      </c>
      <c r="L8" s="32"/>
    </row>
    <row r="9" customFormat="false" ht="15" hidden="false" customHeight="false" outlineLevel="0" collapsed="false">
      <c r="A9" s="11" t="n">
        <v>4</v>
      </c>
      <c r="B9" s="31" t="n">
        <f aca="false">INDEX('Day Map'!$B$2:$B$28,MATCH(A9,'Day Map'!$A$2:$A$28,0))</f>
        <v>46303</v>
      </c>
      <c r="C9" s="13" t="s">
        <v>126</v>
      </c>
      <c r="D9" s="14" t="s">
        <v>146</v>
      </c>
      <c r="E9" s="13" t="n">
        <v>560</v>
      </c>
      <c r="F9" s="13" t="s">
        <v>130</v>
      </c>
      <c r="G9" s="14" t="s">
        <v>147</v>
      </c>
      <c r="H9" s="13" t="n">
        <v>30</v>
      </c>
      <c r="I9" s="14" t="s">
        <v>148</v>
      </c>
      <c r="J9" s="13" t="s">
        <v>124</v>
      </c>
      <c r="K9" s="15" t="s">
        <v>125</v>
      </c>
      <c r="L9" s="32"/>
    </row>
    <row r="10" customFormat="false" ht="15" hidden="false" customHeight="false" outlineLevel="0" collapsed="false">
      <c r="A10" s="11" t="n">
        <v>5</v>
      </c>
      <c r="B10" s="31" t="n">
        <f aca="false">INDEX('Day Map'!$B$2:$B$28,MATCH(A10,'Day Map'!$A$2:$A$28,0))</f>
        <v>46304</v>
      </c>
      <c r="C10" s="13" t="s">
        <v>119</v>
      </c>
      <c r="D10" s="14" t="s">
        <v>149</v>
      </c>
      <c r="E10" s="13" t="n">
        <v>283</v>
      </c>
      <c r="F10" s="13" t="s">
        <v>121</v>
      </c>
      <c r="G10" s="14" t="s">
        <v>150</v>
      </c>
      <c r="H10" s="13" t="n">
        <v>15</v>
      </c>
      <c r="I10" s="14" t="s">
        <v>151</v>
      </c>
      <c r="J10" s="13" t="s">
        <v>130</v>
      </c>
      <c r="K10" s="15" t="s">
        <v>125</v>
      </c>
      <c r="L10" s="32"/>
    </row>
    <row r="11" customFormat="false" ht="15" hidden="false" customHeight="false" outlineLevel="0" collapsed="false">
      <c r="A11" s="11" t="n">
        <v>5</v>
      </c>
      <c r="B11" s="31" t="n">
        <f aca="false">INDEX('Day Map'!$B$2:$B$28,MATCH(A11,'Day Map'!$A$2:$A$28,0))</f>
        <v>46304</v>
      </c>
      <c r="C11" s="13" t="s">
        <v>126</v>
      </c>
      <c r="D11" s="14" t="s">
        <v>152</v>
      </c>
      <c r="E11" s="13" t="n">
        <v>49</v>
      </c>
      <c r="F11" s="13" t="s">
        <v>130</v>
      </c>
      <c r="G11" s="14" t="s">
        <v>153</v>
      </c>
      <c r="H11" s="13" t="n">
        <v>25</v>
      </c>
      <c r="I11" s="14" t="s">
        <v>154</v>
      </c>
      <c r="J11" s="13" t="s">
        <v>124</v>
      </c>
      <c r="K11" s="15" t="s">
        <v>125</v>
      </c>
      <c r="L11" s="32"/>
    </row>
    <row r="12" customFormat="false" ht="15" hidden="false" customHeight="false" outlineLevel="0" collapsed="false">
      <c r="A12" s="11" t="n">
        <v>6</v>
      </c>
      <c r="B12" s="31" t="n">
        <f aca="false">INDEX('Day Map'!$B$2:$B$28,MATCH(A12,'Day Map'!$A$2:$A$28,0))</f>
        <v>46305</v>
      </c>
      <c r="C12" s="13" t="s">
        <v>119</v>
      </c>
      <c r="D12" s="14" t="s">
        <v>155</v>
      </c>
      <c r="E12" s="13" t="n">
        <v>125</v>
      </c>
      <c r="F12" s="13" t="s">
        <v>121</v>
      </c>
      <c r="G12" s="14" t="s">
        <v>156</v>
      </c>
      <c r="H12" s="13" t="n">
        <v>10</v>
      </c>
      <c r="I12" s="14" t="s">
        <v>157</v>
      </c>
      <c r="J12" s="13" t="s">
        <v>130</v>
      </c>
      <c r="K12" s="15" t="s">
        <v>125</v>
      </c>
      <c r="L12" s="32"/>
    </row>
    <row r="13" customFormat="false" ht="15" hidden="false" customHeight="false" outlineLevel="0" collapsed="false">
      <c r="A13" s="11" t="n">
        <v>6</v>
      </c>
      <c r="B13" s="31" t="n">
        <f aca="false">INDEX('Day Map'!$B$2:$B$28,MATCH(A13,'Day Map'!$A$2:$A$28,0))</f>
        <v>46305</v>
      </c>
      <c r="C13" s="13" t="s">
        <v>126</v>
      </c>
      <c r="D13" s="14" t="s">
        <v>158</v>
      </c>
      <c r="E13" s="13" t="n">
        <v>14</v>
      </c>
      <c r="F13" s="13" t="s">
        <v>121</v>
      </c>
      <c r="G13" s="14" t="s">
        <v>159</v>
      </c>
      <c r="H13" s="13" t="n">
        <v>15</v>
      </c>
      <c r="I13" s="14" t="s">
        <v>160</v>
      </c>
      <c r="J13" s="13" t="s">
        <v>161</v>
      </c>
      <c r="K13" s="15" t="s">
        <v>125</v>
      </c>
      <c r="L13" s="32"/>
    </row>
    <row r="14" customFormat="false" ht="15" hidden="false" customHeight="false" outlineLevel="0" collapsed="false">
      <c r="A14" s="11" t="n">
        <v>7</v>
      </c>
      <c r="B14" s="31" t="n">
        <f aca="false">INDEX('Day Map'!$B$2:$B$28,MATCH(A14,'Day Map'!$A$2:$A$28,0))</f>
        <v>46306</v>
      </c>
      <c r="C14" s="13" t="s">
        <v>119</v>
      </c>
      <c r="D14" s="14" t="s">
        <v>162</v>
      </c>
      <c r="E14" s="13" t="n">
        <v>392</v>
      </c>
      <c r="F14" s="13" t="s">
        <v>121</v>
      </c>
      <c r="G14" s="14" t="s">
        <v>163</v>
      </c>
      <c r="H14" s="13" t="n">
        <v>10</v>
      </c>
      <c r="I14" s="14" t="s">
        <v>164</v>
      </c>
      <c r="J14" s="13" t="s">
        <v>130</v>
      </c>
      <c r="K14" s="15" t="s">
        <v>125</v>
      </c>
      <c r="L14" s="32"/>
    </row>
    <row r="15" customFormat="false" ht="15" hidden="false" customHeight="false" outlineLevel="0" collapsed="false">
      <c r="A15" s="11" t="n">
        <v>7</v>
      </c>
      <c r="B15" s="31" t="n">
        <f aca="false">INDEX('Day Map'!$B$2:$B$28,MATCH(A15,'Day Map'!$A$2:$A$28,0))</f>
        <v>46306</v>
      </c>
      <c r="C15" s="13" t="s">
        <v>126</v>
      </c>
      <c r="D15" s="14" t="s">
        <v>165</v>
      </c>
      <c r="E15" s="13" t="n">
        <v>167</v>
      </c>
      <c r="F15" s="13" t="s">
        <v>130</v>
      </c>
      <c r="G15" s="14" t="s">
        <v>166</v>
      </c>
      <c r="H15" s="13" t="n">
        <v>20</v>
      </c>
      <c r="I15" s="14" t="s">
        <v>167</v>
      </c>
      <c r="J15" s="13" t="s">
        <v>124</v>
      </c>
      <c r="K15" s="15" t="s">
        <v>125</v>
      </c>
      <c r="L15" s="32"/>
    </row>
    <row r="16" customFormat="false" ht="15" hidden="false" customHeight="false" outlineLevel="0" collapsed="false">
      <c r="A16" s="16" t="n">
        <v>8</v>
      </c>
      <c r="B16" s="33" t="n">
        <f aca="false">INDEX('Day Map'!$B$2:$B$28,MATCH(A16,'Day Map'!$A$2:$A$28,0))</f>
        <v>46307</v>
      </c>
      <c r="C16" s="18" t="s">
        <v>119</v>
      </c>
      <c r="D16" s="19" t="s">
        <v>168</v>
      </c>
      <c r="E16" s="18" t="n">
        <v>11</v>
      </c>
      <c r="F16" s="18" t="s">
        <v>130</v>
      </c>
      <c r="G16" s="19" t="s">
        <v>169</v>
      </c>
      <c r="H16" s="18" t="n">
        <v>25</v>
      </c>
      <c r="I16" s="19" t="s">
        <v>170</v>
      </c>
      <c r="J16" s="18" t="s">
        <v>124</v>
      </c>
      <c r="K16" s="20" t="s">
        <v>125</v>
      </c>
      <c r="L16" s="34"/>
    </row>
    <row r="17" customFormat="false" ht="15" hidden="false" customHeight="false" outlineLevel="0" collapsed="false">
      <c r="A17" s="16" t="n">
        <v>8</v>
      </c>
      <c r="B17" s="33" t="n">
        <f aca="false">INDEX('Day Map'!$B$2:$B$28,MATCH(A17,'Day Map'!$A$2:$A$28,0))</f>
        <v>46307</v>
      </c>
      <c r="C17" s="18" t="s">
        <v>126</v>
      </c>
      <c r="D17" s="19" t="s">
        <v>171</v>
      </c>
      <c r="E17" s="18" t="n">
        <v>15</v>
      </c>
      <c r="F17" s="18" t="s">
        <v>130</v>
      </c>
      <c r="G17" s="19" t="s">
        <v>172</v>
      </c>
      <c r="H17" s="18" t="n">
        <v>35</v>
      </c>
      <c r="I17" s="19" t="s">
        <v>173</v>
      </c>
      <c r="J17" s="18" t="s">
        <v>124</v>
      </c>
      <c r="K17" s="20" t="s">
        <v>125</v>
      </c>
      <c r="L17" s="34"/>
    </row>
    <row r="18" customFormat="false" ht="15" hidden="false" customHeight="false" outlineLevel="0" collapsed="false">
      <c r="A18" s="16" t="n">
        <v>9</v>
      </c>
      <c r="B18" s="33" t="n">
        <f aca="false">INDEX('Day Map'!$B$2:$B$28,MATCH(A18,'Day Map'!$A$2:$A$28,0))</f>
        <v>46308</v>
      </c>
      <c r="C18" s="18" t="s">
        <v>119</v>
      </c>
      <c r="D18" s="19" t="s">
        <v>174</v>
      </c>
      <c r="E18" s="18" t="n">
        <v>643</v>
      </c>
      <c r="F18" s="18" t="s">
        <v>121</v>
      </c>
      <c r="G18" s="19" t="s">
        <v>175</v>
      </c>
      <c r="H18" s="18" t="n">
        <v>15</v>
      </c>
      <c r="I18" s="19" t="s">
        <v>176</v>
      </c>
      <c r="J18" s="18" t="s">
        <v>124</v>
      </c>
      <c r="K18" s="20" t="s">
        <v>125</v>
      </c>
      <c r="L18" s="34"/>
    </row>
    <row r="19" customFormat="false" ht="15" hidden="false" customHeight="false" outlineLevel="0" collapsed="false">
      <c r="A19" s="16" t="n">
        <v>9</v>
      </c>
      <c r="B19" s="33" t="n">
        <f aca="false">INDEX('Day Map'!$B$2:$B$28,MATCH(A19,'Day Map'!$A$2:$A$28,0))</f>
        <v>46308</v>
      </c>
      <c r="C19" s="18" t="s">
        <v>126</v>
      </c>
      <c r="D19" s="19" t="s">
        <v>177</v>
      </c>
      <c r="E19" s="18" t="n">
        <v>567</v>
      </c>
      <c r="F19" s="18" t="s">
        <v>130</v>
      </c>
      <c r="G19" s="19" t="s">
        <v>178</v>
      </c>
      <c r="H19" s="18" t="n">
        <v>30</v>
      </c>
      <c r="I19" s="19" t="s">
        <v>179</v>
      </c>
      <c r="J19" s="18" t="s">
        <v>124</v>
      </c>
      <c r="K19" s="20" t="s">
        <v>125</v>
      </c>
      <c r="L19" s="34"/>
    </row>
    <row r="20" customFormat="false" ht="15" hidden="false" customHeight="false" outlineLevel="0" collapsed="false">
      <c r="A20" s="16" t="n">
        <v>10</v>
      </c>
      <c r="B20" s="33" t="n">
        <f aca="false">INDEX('Day Map'!$B$2:$B$28,MATCH(A20,'Day Map'!$A$2:$A$28,0))</f>
        <v>46309</v>
      </c>
      <c r="C20" s="18" t="s">
        <v>119</v>
      </c>
      <c r="D20" s="19" t="s">
        <v>180</v>
      </c>
      <c r="E20" s="18" t="n">
        <v>3</v>
      </c>
      <c r="F20" s="18" t="s">
        <v>130</v>
      </c>
      <c r="G20" s="19" t="s">
        <v>181</v>
      </c>
      <c r="H20" s="18" t="n">
        <v>30</v>
      </c>
      <c r="I20" s="19" t="s">
        <v>182</v>
      </c>
      <c r="J20" s="18" t="s">
        <v>124</v>
      </c>
      <c r="K20" s="20" t="s">
        <v>125</v>
      </c>
      <c r="L20" s="34"/>
    </row>
    <row r="21" customFormat="false" ht="15" hidden="false" customHeight="false" outlineLevel="0" collapsed="false">
      <c r="A21" s="16" t="n">
        <v>10</v>
      </c>
      <c r="B21" s="33" t="n">
        <f aca="false">INDEX('Day Map'!$B$2:$B$28,MATCH(A21,'Day Map'!$A$2:$A$28,0))</f>
        <v>46309</v>
      </c>
      <c r="C21" s="18" t="s">
        <v>126</v>
      </c>
      <c r="D21" s="19" t="s">
        <v>183</v>
      </c>
      <c r="E21" s="18" t="n">
        <v>424</v>
      </c>
      <c r="F21" s="18" t="s">
        <v>130</v>
      </c>
      <c r="G21" s="19" t="s">
        <v>184</v>
      </c>
      <c r="H21" s="18" t="n">
        <v>35</v>
      </c>
      <c r="I21" s="19" t="s">
        <v>185</v>
      </c>
      <c r="J21" s="18" t="s">
        <v>124</v>
      </c>
      <c r="K21" s="20" t="s">
        <v>125</v>
      </c>
      <c r="L21" s="34"/>
    </row>
    <row r="22" customFormat="false" ht="15" hidden="false" customHeight="false" outlineLevel="0" collapsed="false">
      <c r="A22" s="16" t="n">
        <v>11</v>
      </c>
      <c r="B22" s="33" t="n">
        <f aca="false">INDEX('Day Map'!$B$2:$B$28,MATCH(A22,'Day Map'!$A$2:$A$28,0))</f>
        <v>46310</v>
      </c>
      <c r="C22" s="18" t="s">
        <v>119</v>
      </c>
      <c r="D22" s="19" t="s">
        <v>186</v>
      </c>
      <c r="E22" s="18" t="n">
        <v>209</v>
      </c>
      <c r="F22" s="18" t="s">
        <v>130</v>
      </c>
      <c r="G22" s="19" t="s">
        <v>187</v>
      </c>
      <c r="H22" s="18" t="n">
        <v>25</v>
      </c>
      <c r="I22" s="19" t="s">
        <v>188</v>
      </c>
      <c r="J22" s="18" t="s">
        <v>124</v>
      </c>
      <c r="K22" s="20" t="s">
        <v>125</v>
      </c>
      <c r="L22" s="34"/>
    </row>
    <row r="23" customFormat="false" ht="15" hidden="false" customHeight="false" outlineLevel="0" collapsed="false">
      <c r="A23" s="16" t="n">
        <v>11</v>
      </c>
      <c r="B23" s="33" t="n">
        <f aca="false">INDEX('Day Map'!$B$2:$B$28,MATCH(A23,'Day Map'!$A$2:$A$28,0))</f>
        <v>46310</v>
      </c>
      <c r="C23" s="18" t="s">
        <v>126</v>
      </c>
      <c r="D23" s="19" t="s">
        <v>189</v>
      </c>
      <c r="E23" s="18" t="n">
        <v>1004</v>
      </c>
      <c r="F23" s="18" t="s">
        <v>130</v>
      </c>
      <c r="G23" s="19" t="s">
        <v>190</v>
      </c>
      <c r="H23" s="18" t="n">
        <v>30</v>
      </c>
      <c r="I23" s="19" t="s">
        <v>191</v>
      </c>
      <c r="J23" s="18" t="s">
        <v>130</v>
      </c>
      <c r="K23" s="20" t="s">
        <v>125</v>
      </c>
      <c r="L23" s="34"/>
    </row>
    <row r="24" customFormat="false" ht="15" hidden="false" customHeight="false" outlineLevel="0" collapsed="false">
      <c r="A24" s="16" t="n">
        <v>12</v>
      </c>
      <c r="B24" s="33" t="n">
        <f aca="false">INDEX('Day Map'!$B$2:$B$28,MATCH(A24,'Day Map'!$A$2:$A$28,0))</f>
        <v>46311</v>
      </c>
      <c r="C24" s="18" t="s">
        <v>119</v>
      </c>
      <c r="D24" s="19" t="s">
        <v>192</v>
      </c>
      <c r="E24" s="18" t="n">
        <v>20</v>
      </c>
      <c r="F24" s="18" t="s">
        <v>121</v>
      </c>
      <c r="G24" s="19" t="s">
        <v>193</v>
      </c>
      <c r="H24" s="18" t="n">
        <v>15</v>
      </c>
      <c r="I24" s="19" t="s">
        <v>194</v>
      </c>
      <c r="J24" s="18" t="s">
        <v>124</v>
      </c>
      <c r="K24" s="20" t="s">
        <v>125</v>
      </c>
      <c r="L24" s="34"/>
    </row>
    <row r="25" customFormat="false" ht="15" hidden="false" customHeight="false" outlineLevel="0" collapsed="false">
      <c r="A25" s="16" t="n">
        <v>12</v>
      </c>
      <c r="B25" s="33" t="n">
        <f aca="false">INDEX('Day Map'!$B$2:$B$28,MATCH(A25,'Day Map'!$A$2:$A$28,0))</f>
        <v>46311</v>
      </c>
      <c r="C25" s="18" t="s">
        <v>126</v>
      </c>
      <c r="D25" s="19" t="s">
        <v>195</v>
      </c>
      <c r="E25" s="18" t="n">
        <v>232</v>
      </c>
      <c r="F25" s="18" t="s">
        <v>121</v>
      </c>
      <c r="G25" s="19" t="s">
        <v>196</v>
      </c>
      <c r="H25" s="18" t="n">
        <v>20</v>
      </c>
      <c r="I25" s="19" t="s">
        <v>197</v>
      </c>
      <c r="J25" s="18" t="s">
        <v>130</v>
      </c>
      <c r="K25" s="20" t="s">
        <v>125</v>
      </c>
      <c r="L25" s="34"/>
    </row>
    <row r="26" customFormat="false" ht="15" hidden="false" customHeight="false" outlineLevel="0" collapsed="false">
      <c r="A26" s="16" t="n">
        <v>13</v>
      </c>
      <c r="B26" s="33" t="n">
        <f aca="false">INDEX('Day Map'!$B$2:$B$28,MATCH(A26,'Day Map'!$A$2:$A$28,0))</f>
        <v>46312</v>
      </c>
      <c r="C26" s="18" t="s">
        <v>119</v>
      </c>
      <c r="D26" s="19" t="s">
        <v>198</v>
      </c>
      <c r="E26" s="18" t="n">
        <v>155</v>
      </c>
      <c r="F26" s="18" t="s">
        <v>130</v>
      </c>
      <c r="G26" s="19" t="s">
        <v>199</v>
      </c>
      <c r="H26" s="18" t="n">
        <v>25</v>
      </c>
      <c r="I26" s="19" t="s">
        <v>200</v>
      </c>
      <c r="J26" s="18" t="s">
        <v>124</v>
      </c>
      <c r="K26" s="20" t="s">
        <v>125</v>
      </c>
      <c r="L26" s="34"/>
    </row>
    <row r="27" customFormat="false" ht="15" hidden="false" customHeight="false" outlineLevel="0" collapsed="false">
      <c r="A27" s="16" t="n">
        <v>13</v>
      </c>
      <c r="B27" s="33" t="n">
        <f aca="false">INDEX('Day Map'!$B$2:$B$28,MATCH(A27,'Day Map'!$A$2:$A$28,0))</f>
        <v>46312</v>
      </c>
      <c r="C27" s="18" t="s">
        <v>126</v>
      </c>
      <c r="D27" s="19" t="s">
        <v>201</v>
      </c>
      <c r="E27" s="18" t="n">
        <v>739</v>
      </c>
      <c r="F27" s="18" t="s">
        <v>130</v>
      </c>
      <c r="G27" s="19" t="s">
        <v>202</v>
      </c>
      <c r="H27" s="18" t="n">
        <v>30</v>
      </c>
      <c r="I27" s="19" t="s">
        <v>203</v>
      </c>
      <c r="J27" s="18" t="s">
        <v>124</v>
      </c>
      <c r="K27" s="20" t="s">
        <v>125</v>
      </c>
      <c r="L27" s="34"/>
    </row>
    <row r="28" customFormat="false" ht="15" hidden="false" customHeight="false" outlineLevel="0" collapsed="false">
      <c r="A28" s="16" t="n">
        <v>14</v>
      </c>
      <c r="B28" s="33" t="n">
        <f aca="false">INDEX('Day Map'!$B$2:$B$28,MATCH(A28,'Day Map'!$A$2:$A$28,0))</f>
        <v>46313</v>
      </c>
      <c r="C28" s="18" t="s">
        <v>119</v>
      </c>
      <c r="D28" s="19" t="s">
        <v>204</v>
      </c>
      <c r="E28" s="18" t="n">
        <v>150</v>
      </c>
      <c r="F28" s="18" t="s">
        <v>130</v>
      </c>
      <c r="G28" s="19" t="s">
        <v>205</v>
      </c>
      <c r="H28" s="18" t="n">
        <v>25</v>
      </c>
      <c r="I28" s="19" t="s">
        <v>206</v>
      </c>
      <c r="J28" s="18" t="s">
        <v>130</v>
      </c>
      <c r="K28" s="20" t="s">
        <v>125</v>
      </c>
      <c r="L28" s="34"/>
    </row>
    <row r="29" customFormat="false" ht="15" hidden="false" customHeight="false" outlineLevel="0" collapsed="false">
      <c r="A29" s="16" t="n">
        <v>14</v>
      </c>
      <c r="B29" s="33" t="n">
        <f aca="false">INDEX('Day Map'!$B$2:$B$28,MATCH(A29,'Day Map'!$A$2:$A$28,0))</f>
        <v>46313</v>
      </c>
      <c r="C29" s="18" t="s">
        <v>126</v>
      </c>
      <c r="D29" s="19" t="s">
        <v>207</v>
      </c>
      <c r="E29" s="18" t="n">
        <v>933</v>
      </c>
      <c r="F29" s="18" t="s">
        <v>121</v>
      </c>
      <c r="G29" s="19" t="s">
        <v>208</v>
      </c>
      <c r="H29" s="18" t="n">
        <v>10</v>
      </c>
      <c r="I29" s="19" t="s">
        <v>209</v>
      </c>
      <c r="J29" s="18" t="s">
        <v>161</v>
      </c>
      <c r="K29" s="20" t="s">
        <v>125</v>
      </c>
      <c r="L29" s="34"/>
    </row>
    <row r="30" customFormat="false" ht="15" hidden="false" customHeight="false" outlineLevel="0" collapsed="false">
      <c r="A30" s="21" t="n">
        <v>15</v>
      </c>
      <c r="B30" s="35" t="n">
        <f aca="false">INDEX('Day Map'!$B$2:$B$28,MATCH(A30,'Day Map'!$A$2:$A$28,0))</f>
        <v>46314</v>
      </c>
      <c r="C30" s="23" t="s">
        <v>119</v>
      </c>
      <c r="D30" s="24" t="s">
        <v>75</v>
      </c>
      <c r="E30" s="23" t="n">
        <v>704</v>
      </c>
      <c r="F30" s="23" t="s">
        <v>121</v>
      </c>
      <c r="G30" s="24" t="s">
        <v>210</v>
      </c>
      <c r="H30" s="23" t="n">
        <v>10</v>
      </c>
      <c r="I30" s="24" t="s">
        <v>211</v>
      </c>
      <c r="J30" s="23" t="s">
        <v>124</v>
      </c>
      <c r="K30" s="25" t="s">
        <v>125</v>
      </c>
      <c r="L30" s="36"/>
    </row>
    <row r="31" customFormat="false" ht="15" hidden="false" customHeight="false" outlineLevel="0" collapsed="false">
      <c r="A31" s="21" t="n">
        <v>15</v>
      </c>
      <c r="B31" s="35" t="n">
        <f aca="false">INDEX('Day Map'!$B$2:$B$28,MATCH(A31,'Day Map'!$A$2:$A$28,0))</f>
        <v>46314</v>
      </c>
      <c r="C31" s="23" t="s">
        <v>126</v>
      </c>
      <c r="D31" s="24" t="s">
        <v>212</v>
      </c>
      <c r="E31" s="23" t="n">
        <v>74</v>
      </c>
      <c r="F31" s="23" t="s">
        <v>130</v>
      </c>
      <c r="G31" s="24" t="s">
        <v>213</v>
      </c>
      <c r="H31" s="23" t="n">
        <v>25</v>
      </c>
      <c r="I31" s="24" t="s">
        <v>214</v>
      </c>
      <c r="J31" s="23" t="s">
        <v>130</v>
      </c>
      <c r="K31" s="25" t="s">
        <v>125</v>
      </c>
      <c r="L31" s="36"/>
    </row>
    <row r="32" customFormat="false" ht="15" hidden="false" customHeight="false" outlineLevel="0" collapsed="false">
      <c r="A32" s="21" t="n">
        <v>16</v>
      </c>
      <c r="B32" s="35" t="n">
        <f aca="false">INDEX('Day Map'!$B$2:$B$28,MATCH(A32,'Day Map'!$A$2:$A$28,0))</f>
        <v>46315</v>
      </c>
      <c r="C32" s="23" t="s">
        <v>119</v>
      </c>
      <c r="D32" s="24" t="s">
        <v>215</v>
      </c>
      <c r="E32" s="23" t="n">
        <v>153</v>
      </c>
      <c r="F32" s="23" t="s">
        <v>130</v>
      </c>
      <c r="G32" s="24" t="s">
        <v>216</v>
      </c>
      <c r="H32" s="23" t="n">
        <v>30</v>
      </c>
      <c r="I32" s="24" t="s">
        <v>217</v>
      </c>
      <c r="J32" s="23" t="s">
        <v>124</v>
      </c>
      <c r="K32" s="25" t="s">
        <v>125</v>
      </c>
      <c r="L32" s="36"/>
    </row>
    <row r="33" customFormat="false" ht="15" hidden="false" customHeight="false" outlineLevel="0" collapsed="false">
      <c r="A33" s="21" t="n">
        <v>16</v>
      </c>
      <c r="B33" s="35" t="n">
        <f aca="false">INDEX('Day Map'!$B$2:$B$28,MATCH(A33,'Day Map'!$A$2:$A$28,0))</f>
        <v>46315</v>
      </c>
      <c r="C33" s="23" t="s">
        <v>126</v>
      </c>
      <c r="D33" s="24" t="s">
        <v>218</v>
      </c>
      <c r="E33" s="23" t="n">
        <v>33</v>
      </c>
      <c r="F33" s="23" t="s">
        <v>130</v>
      </c>
      <c r="G33" s="24" t="s">
        <v>216</v>
      </c>
      <c r="H33" s="23" t="n">
        <v>35</v>
      </c>
      <c r="I33" s="24" t="s">
        <v>219</v>
      </c>
      <c r="J33" s="23" t="s">
        <v>124</v>
      </c>
      <c r="K33" s="25" t="s">
        <v>125</v>
      </c>
      <c r="L33" s="36"/>
    </row>
    <row r="34" customFormat="false" ht="15" hidden="false" customHeight="false" outlineLevel="0" collapsed="false">
      <c r="A34" s="21" t="n">
        <v>17</v>
      </c>
      <c r="B34" s="35" t="n">
        <f aca="false">INDEX('Day Map'!$B$2:$B$28,MATCH(A34,'Day Map'!$A$2:$A$28,0))</f>
        <v>46316</v>
      </c>
      <c r="C34" s="23" t="s">
        <v>119</v>
      </c>
      <c r="D34" s="24" t="s">
        <v>220</v>
      </c>
      <c r="E34" s="23" t="n">
        <v>875</v>
      </c>
      <c r="F34" s="23" t="s">
        <v>130</v>
      </c>
      <c r="G34" s="24" t="s">
        <v>221</v>
      </c>
      <c r="H34" s="23" t="n">
        <v>35</v>
      </c>
      <c r="I34" s="24" t="s">
        <v>222</v>
      </c>
      <c r="J34" s="23" t="s">
        <v>124</v>
      </c>
      <c r="K34" s="25" t="s">
        <v>125</v>
      </c>
      <c r="L34" s="36"/>
    </row>
    <row r="35" customFormat="false" ht="23.85" hidden="false" customHeight="false" outlineLevel="0" collapsed="false">
      <c r="A35" s="21" t="n">
        <v>17</v>
      </c>
      <c r="B35" s="35" t="n">
        <f aca="false">INDEX('Day Map'!$B$2:$B$28,MATCH(A35,'Day Map'!$A$2:$A$28,0))</f>
        <v>46316</v>
      </c>
      <c r="C35" s="23" t="s">
        <v>126</v>
      </c>
      <c r="D35" s="24" t="s">
        <v>223</v>
      </c>
      <c r="E35" s="23" t="n">
        <v>34</v>
      </c>
      <c r="F35" s="23" t="s">
        <v>130</v>
      </c>
      <c r="G35" s="24" t="s">
        <v>224</v>
      </c>
      <c r="H35" s="23" t="n">
        <v>25</v>
      </c>
      <c r="I35" s="24" t="s">
        <v>225</v>
      </c>
      <c r="J35" s="23" t="s">
        <v>124</v>
      </c>
      <c r="K35" s="25" t="s">
        <v>125</v>
      </c>
      <c r="L35" s="36"/>
    </row>
    <row r="36" customFormat="false" ht="15" hidden="false" customHeight="false" outlineLevel="0" collapsed="false">
      <c r="A36" s="21" t="n">
        <v>18</v>
      </c>
      <c r="B36" s="35" t="n">
        <f aca="false">INDEX('Day Map'!$B$2:$B$28,MATCH(A36,'Day Map'!$A$2:$A$28,0))</f>
        <v>46317</v>
      </c>
      <c r="C36" s="23" t="s">
        <v>119</v>
      </c>
      <c r="D36" s="24" t="s">
        <v>226</v>
      </c>
      <c r="E36" s="23" t="n">
        <v>206</v>
      </c>
      <c r="F36" s="23" t="s">
        <v>121</v>
      </c>
      <c r="G36" s="24" t="s">
        <v>227</v>
      </c>
      <c r="H36" s="23" t="n">
        <v>15</v>
      </c>
      <c r="I36" s="24" t="s">
        <v>228</v>
      </c>
      <c r="J36" s="23" t="s">
        <v>124</v>
      </c>
      <c r="K36" s="25" t="s">
        <v>125</v>
      </c>
      <c r="L36" s="36"/>
    </row>
    <row r="37" customFormat="false" ht="15" hidden="false" customHeight="false" outlineLevel="0" collapsed="false">
      <c r="A37" s="21" t="n">
        <v>18</v>
      </c>
      <c r="B37" s="35" t="n">
        <f aca="false">INDEX('Day Map'!$B$2:$B$28,MATCH(A37,'Day Map'!$A$2:$A$28,0))</f>
        <v>46317</v>
      </c>
      <c r="C37" s="23" t="s">
        <v>126</v>
      </c>
      <c r="D37" s="24" t="s">
        <v>229</v>
      </c>
      <c r="E37" s="23" t="n">
        <v>21</v>
      </c>
      <c r="F37" s="23" t="s">
        <v>121</v>
      </c>
      <c r="G37" s="24" t="s">
        <v>230</v>
      </c>
      <c r="H37" s="23" t="n">
        <v>20</v>
      </c>
      <c r="I37" s="24" t="s">
        <v>231</v>
      </c>
      <c r="J37" s="23" t="s">
        <v>124</v>
      </c>
      <c r="K37" s="25" t="s">
        <v>125</v>
      </c>
      <c r="L37" s="36"/>
    </row>
    <row r="38" customFormat="false" ht="15" hidden="false" customHeight="false" outlineLevel="0" collapsed="false">
      <c r="A38" s="21" t="n">
        <v>19</v>
      </c>
      <c r="B38" s="35" t="n">
        <f aca="false">INDEX('Day Map'!$B$2:$B$28,MATCH(A38,'Day Map'!$A$2:$A$28,0))</f>
        <v>46318</v>
      </c>
      <c r="C38" s="23" t="s">
        <v>119</v>
      </c>
      <c r="D38" s="24" t="s">
        <v>232</v>
      </c>
      <c r="E38" s="23" t="n">
        <v>141</v>
      </c>
      <c r="F38" s="23" t="s">
        <v>121</v>
      </c>
      <c r="G38" s="24" t="s">
        <v>233</v>
      </c>
      <c r="H38" s="23" t="n">
        <v>15</v>
      </c>
      <c r="I38" s="24" t="s">
        <v>234</v>
      </c>
      <c r="J38" s="23" t="s">
        <v>124</v>
      </c>
      <c r="K38" s="25" t="s">
        <v>125</v>
      </c>
      <c r="L38" s="36"/>
    </row>
    <row r="39" customFormat="false" ht="15" hidden="false" customHeight="false" outlineLevel="0" collapsed="false">
      <c r="A39" s="21" t="n">
        <v>19</v>
      </c>
      <c r="B39" s="35" t="n">
        <f aca="false">INDEX('Day Map'!$B$2:$B$28,MATCH(A39,'Day Map'!$A$2:$A$28,0))</f>
        <v>46318</v>
      </c>
      <c r="C39" s="23" t="s">
        <v>126</v>
      </c>
      <c r="D39" s="24" t="s">
        <v>235</v>
      </c>
      <c r="E39" s="23" t="n">
        <v>19</v>
      </c>
      <c r="F39" s="23" t="s">
        <v>130</v>
      </c>
      <c r="G39" s="24" t="s">
        <v>236</v>
      </c>
      <c r="H39" s="23" t="n">
        <v>25</v>
      </c>
      <c r="I39" s="24" t="s">
        <v>237</v>
      </c>
      <c r="J39" s="23" t="s">
        <v>124</v>
      </c>
      <c r="K39" s="25" t="s">
        <v>125</v>
      </c>
      <c r="L39" s="36"/>
    </row>
    <row r="40" customFormat="false" ht="15" hidden="false" customHeight="false" outlineLevel="0" collapsed="false">
      <c r="A40" s="21" t="n">
        <v>20</v>
      </c>
      <c r="B40" s="35" t="n">
        <f aca="false">INDEX('Day Map'!$B$2:$B$28,MATCH(A40,'Day Map'!$A$2:$A$28,0))</f>
        <v>46319</v>
      </c>
      <c r="C40" s="23" t="s">
        <v>119</v>
      </c>
      <c r="D40" s="24" t="s">
        <v>238</v>
      </c>
      <c r="E40" s="23" t="n">
        <v>143</v>
      </c>
      <c r="F40" s="23" t="s">
        <v>130</v>
      </c>
      <c r="G40" s="24" t="s">
        <v>239</v>
      </c>
      <c r="H40" s="23" t="n">
        <v>40</v>
      </c>
      <c r="I40" s="24" t="s">
        <v>240</v>
      </c>
      <c r="J40" s="23" t="s">
        <v>130</v>
      </c>
      <c r="K40" s="25" t="s">
        <v>125</v>
      </c>
      <c r="L40" s="36"/>
    </row>
    <row r="41" customFormat="false" ht="15" hidden="false" customHeight="false" outlineLevel="0" collapsed="false">
      <c r="A41" s="21" t="n">
        <v>20</v>
      </c>
      <c r="B41" s="35" t="n">
        <f aca="false">INDEX('Day Map'!$B$2:$B$28,MATCH(A41,'Day Map'!$A$2:$A$28,0))</f>
        <v>46319</v>
      </c>
      <c r="C41" s="23" t="s">
        <v>126</v>
      </c>
      <c r="D41" s="24" t="s">
        <v>241</v>
      </c>
      <c r="E41" s="23" t="n">
        <v>2</v>
      </c>
      <c r="F41" s="23" t="s">
        <v>130</v>
      </c>
      <c r="G41" s="24" t="s">
        <v>242</v>
      </c>
      <c r="H41" s="23" t="n">
        <v>30</v>
      </c>
      <c r="I41" s="24" t="s">
        <v>243</v>
      </c>
      <c r="J41" s="23" t="s">
        <v>130</v>
      </c>
      <c r="K41" s="25" t="s">
        <v>125</v>
      </c>
      <c r="L41" s="36"/>
    </row>
    <row r="42" customFormat="false" ht="15" hidden="false" customHeight="false" outlineLevel="0" collapsed="false">
      <c r="A42" s="21" t="n">
        <v>21</v>
      </c>
      <c r="B42" s="35" t="n">
        <f aca="false">INDEX('Day Map'!$B$2:$B$28,MATCH(A42,'Day Map'!$A$2:$A$28,0))</f>
        <v>46320</v>
      </c>
      <c r="C42" s="23" t="s">
        <v>119</v>
      </c>
      <c r="D42" s="24" t="s">
        <v>244</v>
      </c>
      <c r="E42" s="23" t="n">
        <v>104</v>
      </c>
      <c r="F42" s="23" t="s">
        <v>121</v>
      </c>
      <c r="G42" s="24" t="s">
        <v>245</v>
      </c>
      <c r="H42" s="23" t="n">
        <v>15</v>
      </c>
      <c r="I42" s="24" t="s">
        <v>246</v>
      </c>
      <c r="J42" s="23" t="s">
        <v>124</v>
      </c>
      <c r="K42" s="25" t="s">
        <v>125</v>
      </c>
      <c r="L42" s="36"/>
    </row>
    <row r="43" customFormat="false" ht="15" hidden="false" customHeight="false" outlineLevel="0" collapsed="false">
      <c r="A43" s="21" t="n">
        <v>21</v>
      </c>
      <c r="B43" s="35" t="n">
        <f aca="false">INDEX('Day Map'!$B$2:$B$28,MATCH(A43,'Day Map'!$A$2:$A$28,0))</f>
        <v>46320</v>
      </c>
      <c r="C43" s="23" t="s">
        <v>126</v>
      </c>
      <c r="D43" s="24" t="s">
        <v>247</v>
      </c>
      <c r="E43" s="23" t="n">
        <v>102</v>
      </c>
      <c r="F43" s="23" t="s">
        <v>130</v>
      </c>
      <c r="G43" s="24" t="s">
        <v>248</v>
      </c>
      <c r="H43" s="23" t="n">
        <v>25</v>
      </c>
      <c r="I43" s="24" t="s">
        <v>249</v>
      </c>
      <c r="J43" s="23" t="s">
        <v>124</v>
      </c>
      <c r="K43" s="25" t="s">
        <v>125</v>
      </c>
      <c r="L43" s="36"/>
    </row>
    <row r="44" customFormat="false" ht="15" hidden="false" customHeight="false" outlineLevel="0" collapsed="false">
      <c r="A44" s="26" t="n">
        <v>22</v>
      </c>
      <c r="B44" s="37" t="n">
        <f aca="false">INDEX('Day Map'!$B$2:$B$28,MATCH(A44,'Day Map'!$A$2:$A$28,0))</f>
        <v>46321</v>
      </c>
      <c r="C44" s="28" t="s">
        <v>119</v>
      </c>
      <c r="D44" s="29" t="s">
        <v>250</v>
      </c>
      <c r="E44" s="28" t="n">
        <v>98</v>
      </c>
      <c r="F44" s="28" t="s">
        <v>130</v>
      </c>
      <c r="G44" s="29" t="s">
        <v>251</v>
      </c>
      <c r="H44" s="28" t="n">
        <v>30</v>
      </c>
      <c r="I44" s="29" t="s">
        <v>252</v>
      </c>
      <c r="J44" s="28" t="s">
        <v>124</v>
      </c>
      <c r="K44" s="30" t="s">
        <v>125</v>
      </c>
      <c r="L44" s="38"/>
    </row>
    <row r="45" customFormat="false" ht="15" hidden="false" customHeight="false" outlineLevel="0" collapsed="false">
      <c r="A45" s="26" t="n">
        <v>22</v>
      </c>
      <c r="B45" s="37" t="n">
        <f aca="false">INDEX('Day Map'!$B$2:$B$28,MATCH(A45,'Day Map'!$A$2:$A$28,0))</f>
        <v>46321</v>
      </c>
      <c r="C45" s="28" t="s">
        <v>126</v>
      </c>
      <c r="D45" s="29" t="s">
        <v>253</v>
      </c>
      <c r="E45" s="28" t="n">
        <v>236</v>
      </c>
      <c r="F45" s="28" t="s">
        <v>130</v>
      </c>
      <c r="G45" s="29" t="s">
        <v>254</v>
      </c>
      <c r="H45" s="28" t="n">
        <v>35</v>
      </c>
      <c r="I45" s="29" t="s">
        <v>255</v>
      </c>
      <c r="J45" s="28" t="s">
        <v>124</v>
      </c>
      <c r="K45" s="30" t="s">
        <v>125</v>
      </c>
      <c r="L45" s="38"/>
    </row>
    <row r="46" customFormat="false" ht="15" hidden="false" customHeight="false" outlineLevel="0" collapsed="false">
      <c r="A46" s="26" t="n">
        <v>23</v>
      </c>
      <c r="B46" s="37" t="n">
        <f aca="false">INDEX('Day Map'!$B$2:$B$28,MATCH(A46,'Day Map'!$A$2:$A$28,0))</f>
        <v>46322</v>
      </c>
      <c r="C46" s="28" t="s">
        <v>119</v>
      </c>
      <c r="D46" s="29" t="s">
        <v>256</v>
      </c>
      <c r="E46" s="28" t="n">
        <v>215</v>
      </c>
      <c r="F46" s="28" t="s">
        <v>130</v>
      </c>
      <c r="G46" s="29" t="s">
        <v>257</v>
      </c>
      <c r="H46" s="28" t="n">
        <v>30</v>
      </c>
      <c r="I46" s="29" t="s">
        <v>258</v>
      </c>
      <c r="J46" s="28" t="s">
        <v>124</v>
      </c>
      <c r="K46" s="30" t="s">
        <v>125</v>
      </c>
      <c r="L46" s="38"/>
    </row>
    <row r="47" customFormat="false" ht="15" hidden="false" customHeight="false" outlineLevel="0" collapsed="false">
      <c r="A47" s="26" t="n">
        <v>23</v>
      </c>
      <c r="B47" s="37" t="n">
        <f aca="false">INDEX('Day Map'!$B$2:$B$28,MATCH(A47,'Day Map'!$A$2:$A$28,0))</f>
        <v>46322</v>
      </c>
      <c r="C47" s="28" t="s">
        <v>126</v>
      </c>
      <c r="D47" s="29" t="s">
        <v>259</v>
      </c>
      <c r="E47" s="28" t="n">
        <v>347</v>
      </c>
      <c r="F47" s="28" t="s">
        <v>130</v>
      </c>
      <c r="G47" s="29" t="s">
        <v>260</v>
      </c>
      <c r="H47" s="28" t="n">
        <v>30</v>
      </c>
      <c r="I47" s="29" t="s">
        <v>261</v>
      </c>
      <c r="J47" s="28" t="s">
        <v>124</v>
      </c>
      <c r="K47" s="30" t="s">
        <v>125</v>
      </c>
      <c r="L47" s="38"/>
    </row>
    <row r="48" customFormat="false" ht="15" hidden="false" customHeight="false" outlineLevel="0" collapsed="false">
      <c r="A48" s="26" t="n">
        <v>24</v>
      </c>
      <c r="B48" s="37" t="n">
        <f aca="false">INDEX('Day Map'!$B$2:$B$28,MATCH(A48,'Day Map'!$A$2:$A$28,0))</f>
        <v>46323</v>
      </c>
      <c r="C48" s="28" t="s">
        <v>119</v>
      </c>
      <c r="D48" s="29" t="s">
        <v>262</v>
      </c>
      <c r="E48" s="28" t="n">
        <v>1971</v>
      </c>
      <c r="F48" s="28" t="s">
        <v>121</v>
      </c>
      <c r="G48" s="29" t="s">
        <v>263</v>
      </c>
      <c r="H48" s="28" t="n">
        <v>20</v>
      </c>
      <c r="I48" s="29" t="s">
        <v>264</v>
      </c>
      <c r="J48" s="28" t="s">
        <v>130</v>
      </c>
      <c r="K48" s="30" t="s">
        <v>125</v>
      </c>
      <c r="L48" s="38"/>
    </row>
    <row r="49" customFormat="false" ht="15" hidden="false" customHeight="false" outlineLevel="0" collapsed="false">
      <c r="A49" s="26" t="n">
        <v>24</v>
      </c>
      <c r="B49" s="37" t="n">
        <f aca="false">INDEX('Day Map'!$B$2:$B$28,MATCH(A49,'Day Map'!$A$2:$A$28,0))</f>
        <v>46323</v>
      </c>
      <c r="C49" s="28" t="s">
        <v>126</v>
      </c>
      <c r="D49" s="29" t="s">
        <v>265</v>
      </c>
      <c r="E49" s="28" t="n">
        <v>200</v>
      </c>
      <c r="F49" s="28" t="s">
        <v>130</v>
      </c>
      <c r="G49" s="29" t="s">
        <v>266</v>
      </c>
      <c r="H49" s="28" t="n">
        <v>30</v>
      </c>
      <c r="I49" s="29" t="s">
        <v>267</v>
      </c>
      <c r="J49" s="28" t="s">
        <v>124</v>
      </c>
      <c r="K49" s="30" t="s">
        <v>125</v>
      </c>
      <c r="L49" s="38"/>
    </row>
    <row r="50" customFormat="false" ht="15" hidden="false" customHeight="false" outlineLevel="0" collapsed="false">
      <c r="A50" s="26" t="n">
        <v>25</v>
      </c>
      <c r="B50" s="37" t="n">
        <f aca="false">INDEX('Day Map'!$B$2:$B$28,MATCH(A50,'Day Map'!$A$2:$A$28,0))</f>
        <v>46324</v>
      </c>
      <c r="C50" s="28" t="s">
        <v>119</v>
      </c>
      <c r="D50" s="29" t="s">
        <v>268</v>
      </c>
      <c r="E50" s="28" t="n">
        <v>994</v>
      </c>
      <c r="F50" s="28" t="s">
        <v>130</v>
      </c>
      <c r="G50" s="29" t="s">
        <v>269</v>
      </c>
      <c r="H50" s="28" t="n">
        <v>35</v>
      </c>
      <c r="I50" s="29" t="s">
        <v>270</v>
      </c>
      <c r="J50" s="28" t="s">
        <v>124</v>
      </c>
      <c r="K50" s="30" t="s">
        <v>125</v>
      </c>
      <c r="L50" s="38"/>
    </row>
    <row r="51" customFormat="false" ht="15" hidden="false" customHeight="false" outlineLevel="0" collapsed="false">
      <c r="A51" s="26" t="n">
        <v>25</v>
      </c>
      <c r="B51" s="37" t="n">
        <f aca="false">INDEX('Day Map'!$B$2:$B$28,MATCH(A51,'Day Map'!$A$2:$A$28,0))</f>
        <v>46324</v>
      </c>
      <c r="C51" s="28" t="s">
        <v>126</v>
      </c>
      <c r="D51" s="29" t="s">
        <v>271</v>
      </c>
      <c r="E51" s="28" t="n">
        <v>207</v>
      </c>
      <c r="F51" s="28" t="s">
        <v>130</v>
      </c>
      <c r="G51" s="29" t="s">
        <v>272</v>
      </c>
      <c r="H51" s="28" t="n">
        <v>40</v>
      </c>
      <c r="I51" s="29" t="s">
        <v>273</v>
      </c>
      <c r="J51" s="28" t="s">
        <v>124</v>
      </c>
      <c r="K51" s="30" t="s">
        <v>125</v>
      </c>
      <c r="L51" s="38"/>
    </row>
    <row r="52" customFormat="false" ht="15" hidden="false" customHeight="false" outlineLevel="0" collapsed="false">
      <c r="A52" s="26" t="n">
        <v>26</v>
      </c>
      <c r="B52" s="37" t="n">
        <f aca="false">INDEX('Day Map'!$B$2:$B$28,MATCH(A52,'Day Map'!$A$2:$A$28,0))</f>
        <v>46325</v>
      </c>
      <c r="C52" s="28" t="s">
        <v>119</v>
      </c>
      <c r="D52" s="29" t="s">
        <v>274</v>
      </c>
      <c r="E52" s="28" t="n">
        <v>238</v>
      </c>
      <c r="F52" s="28" t="s">
        <v>130</v>
      </c>
      <c r="G52" s="29" t="s">
        <v>275</v>
      </c>
      <c r="H52" s="28" t="n">
        <v>30</v>
      </c>
      <c r="I52" s="29" t="s">
        <v>276</v>
      </c>
      <c r="J52" s="28" t="s">
        <v>124</v>
      </c>
      <c r="K52" s="30" t="s">
        <v>125</v>
      </c>
      <c r="L52" s="38"/>
    </row>
    <row r="53" customFormat="false" ht="15" hidden="false" customHeight="false" outlineLevel="0" collapsed="false">
      <c r="A53" s="26" t="n">
        <v>26</v>
      </c>
      <c r="B53" s="37" t="n">
        <f aca="false">INDEX('Day Map'!$B$2:$B$28,MATCH(A53,'Day Map'!$A$2:$A$28,0))</f>
        <v>46325</v>
      </c>
      <c r="C53" s="28" t="s">
        <v>126</v>
      </c>
      <c r="D53" s="29" t="s">
        <v>277</v>
      </c>
      <c r="E53" s="28" t="n">
        <v>142</v>
      </c>
      <c r="F53" s="28" t="s">
        <v>130</v>
      </c>
      <c r="G53" s="29" t="s">
        <v>233</v>
      </c>
      <c r="H53" s="28" t="n">
        <v>30</v>
      </c>
      <c r="I53" s="29" t="s">
        <v>278</v>
      </c>
      <c r="J53" s="28" t="s">
        <v>130</v>
      </c>
      <c r="K53" s="30" t="s">
        <v>125</v>
      </c>
      <c r="L53" s="38"/>
    </row>
    <row r="54" customFormat="false" ht="15" hidden="false" customHeight="false" outlineLevel="0" collapsed="false">
      <c r="A54" s="26" t="n">
        <v>27</v>
      </c>
      <c r="B54" s="37" t="n">
        <f aca="false">INDEX('Day Map'!$B$2:$B$28,MATCH(A54,'Day Map'!$A$2:$A$28,0))</f>
        <v>46326</v>
      </c>
      <c r="C54" s="28" t="s">
        <v>119</v>
      </c>
      <c r="D54" s="29" t="s">
        <v>279</v>
      </c>
      <c r="E54" s="28" t="n">
        <v>56</v>
      </c>
      <c r="F54" s="28" t="s">
        <v>130</v>
      </c>
      <c r="G54" s="29" t="s">
        <v>280</v>
      </c>
      <c r="H54" s="28" t="n">
        <v>25</v>
      </c>
      <c r="I54" s="29" t="s">
        <v>281</v>
      </c>
      <c r="J54" s="28" t="s">
        <v>124</v>
      </c>
      <c r="K54" s="30" t="s">
        <v>125</v>
      </c>
      <c r="L54" s="38"/>
    </row>
    <row r="55" customFormat="false" ht="15" hidden="false" customHeight="false" outlineLevel="0" collapsed="false">
      <c r="A55" s="26" t="n">
        <v>27</v>
      </c>
      <c r="B55" s="37" t="n">
        <f aca="false">INDEX('Day Map'!$B$2:$B$28,MATCH(A55,'Day Map'!$A$2:$A$28,0))</f>
        <v>46326</v>
      </c>
      <c r="C55" s="28" t="s">
        <v>126</v>
      </c>
      <c r="D55" s="29" t="s">
        <v>282</v>
      </c>
      <c r="E55" s="28" t="n">
        <v>128</v>
      </c>
      <c r="F55" s="28" t="s">
        <v>130</v>
      </c>
      <c r="G55" s="29" t="s">
        <v>128</v>
      </c>
      <c r="H55" s="28" t="n">
        <v>30</v>
      </c>
      <c r="I55" s="29" t="s">
        <v>283</v>
      </c>
      <c r="J55" s="28" t="s">
        <v>124</v>
      </c>
      <c r="K55" s="30" t="s">
        <v>125</v>
      </c>
      <c r="L55" s="38"/>
    </row>
    <row r="57" customFormat="false" ht="15" hidden="false" customHeight="false" outlineLevel="0" collapsed="false">
      <c r="D57" s="3" t="s">
        <v>284</v>
      </c>
      <c r="E57" s="3" t="n">
        <f aca="false">COUNTA(D2:D55)</f>
        <v>54</v>
      </c>
    </row>
    <row r="58" customFormat="false" ht="15" hidden="false" customHeight="false" outlineLevel="0" collapsed="false">
      <c r="D58" s="3" t="s">
        <v>285</v>
      </c>
      <c r="E58" s="3" t="n">
        <f aca="false">COUNTIF(K2:K55,"Done")</f>
        <v>0</v>
      </c>
    </row>
    <row r="59" customFormat="false" ht="15" hidden="false" customHeight="false" outlineLevel="0" collapsed="false">
      <c r="D59" s="3" t="s">
        <v>286</v>
      </c>
      <c r="E59" s="3" t="str">
        <f aca="false">COUNTIF(F2:F55,"Easy")&amp;" / "&amp;COUNTIF(F2:F55,"Medium")</f>
        <v>20 / 34</v>
      </c>
    </row>
    <row r="61" customFormat="false" ht="15" hidden="false" customHeight="false" outlineLevel="0" collapsed="false">
      <c r="D61" s="2" t="s">
        <v>287</v>
      </c>
    </row>
  </sheetData>
  <autoFilter ref="A1:L55"/>
  <conditionalFormatting sqref="K2:K55">
    <cfRule type="expression" priority="2" aboveAverage="0" equalAverage="0" bottom="0" percent="0" rank="0" text="" dxfId="8">
      <formula>$K2="Done"</formula>
    </cfRule>
    <cfRule type="expression" priority="3" aboveAverage="0" equalAverage="0" bottom="0" percent="0" rank="0" text="" dxfId="9">
      <formula>$K2="Revisit"</formula>
    </cfRule>
  </conditionalFormatting>
  <dataValidations count="1">
    <dataValidation allowBlank="false" errorStyle="stop" operator="between" showDropDown="false" showErrorMessage="false" showInputMessage="false" sqref="K2:K55" type="list">
      <formula1>"Not started,In progress,Done,Revisit"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30"/>
    <col collapsed="false" customWidth="true" hidden="false" outlineLevel="0" max="4" min="4" style="0" width="16"/>
    <col collapsed="false" customWidth="true" hidden="false" outlineLevel="0" max="5" min="5" style="0" width="10"/>
    <col collapsed="false" customWidth="true" hidden="false" outlineLevel="0" max="6" min="6" style="0" width="40"/>
  </cols>
  <sheetData>
    <row r="1" customFormat="false" ht="30" hidden="false" customHeight="true" outlineLevel="0" collapsed="false">
      <c r="A1" s="5" t="s">
        <v>288</v>
      </c>
      <c r="B1" s="5" t="s">
        <v>289</v>
      </c>
      <c r="C1" s="5" t="s">
        <v>290</v>
      </c>
      <c r="D1" s="5" t="s">
        <v>291</v>
      </c>
      <c r="E1" s="5" t="s">
        <v>292</v>
      </c>
      <c r="F1" s="5" t="s">
        <v>36</v>
      </c>
    </row>
    <row r="2" customFormat="false" ht="15" hidden="false" customHeight="false" outlineLevel="0" collapsed="false">
      <c r="A2" s="39" t="s">
        <v>37</v>
      </c>
      <c r="B2" s="40" t="n">
        <v>30</v>
      </c>
      <c r="C2" s="39" t="s">
        <v>293</v>
      </c>
      <c r="D2" s="40" t="n">
        <v>0</v>
      </c>
      <c r="E2" s="8" t="n">
        <f aca="false">IF(B2&gt;0,D2/B2,0)</f>
        <v>0</v>
      </c>
      <c r="F2" s="41"/>
    </row>
    <row r="3" customFormat="false" ht="15" hidden="false" customHeight="false" outlineLevel="0" collapsed="false">
      <c r="A3" s="39" t="s">
        <v>294</v>
      </c>
      <c r="B3" s="40" t="n">
        <v>25</v>
      </c>
      <c r="C3" s="39" t="s">
        <v>295</v>
      </c>
      <c r="D3" s="40" t="n">
        <v>0</v>
      </c>
      <c r="E3" s="8" t="n">
        <f aca="false">IF(B3&gt;0,D3/B3,0)</f>
        <v>0</v>
      </c>
      <c r="F3" s="41"/>
    </row>
    <row r="4" customFormat="false" ht="15" hidden="false" customHeight="false" outlineLevel="0" collapsed="false">
      <c r="A4" s="39" t="s">
        <v>296</v>
      </c>
      <c r="B4" s="40" t="n">
        <v>30</v>
      </c>
      <c r="C4" s="39" t="s">
        <v>297</v>
      </c>
      <c r="D4" s="40" t="n">
        <v>0</v>
      </c>
      <c r="E4" s="8" t="n">
        <f aca="false">IF(B4&gt;0,D4/B4,0)</f>
        <v>0</v>
      </c>
      <c r="F4" s="41"/>
    </row>
    <row r="5" customFormat="false" ht="15" hidden="false" customHeight="false" outlineLevel="0" collapsed="false">
      <c r="A5" s="39" t="s">
        <v>298</v>
      </c>
      <c r="B5" s="40" t="n">
        <v>30</v>
      </c>
      <c r="C5" s="39" t="s">
        <v>299</v>
      </c>
      <c r="D5" s="40" t="n">
        <v>0</v>
      </c>
      <c r="E5" s="8" t="n">
        <f aca="false">IF(B5&gt;0,D5/B5,0)</f>
        <v>0</v>
      </c>
      <c r="F5" s="41"/>
    </row>
    <row r="6" customFormat="false" ht="15" hidden="false" customHeight="false" outlineLevel="0" collapsed="false">
      <c r="A6" s="39" t="s">
        <v>82</v>
      </c>
      <c r="B6" s="40" t="n">
        <v>25</v>
      </c>
      <c r="C6" s="39" t="s">
        <v>300</v>
      </c>
      <c r="D6" s="40" t="n">
        <v>0</v>
      </c>
      <c r="E6" s="8" t="n">
        <f aca="false">IF(B6&gt;0,D6/B6,0)</f>
        <v>0</v>
      </c>
      <c r="F6" s="41"/>
    </row>
    <row r="7" customFormat="false" ht="15" hidden="false" customHeight="false" outlineLevel="0" collapsed="false">
      <c r="A7" s="39" t="s">
        <v>88</v>
      </c>
      <c r="B7" s="40" t="n">
        <v>15</v>
      </c>
      <c r="C7" s="39" t="s">
        <v>301</v>
      </c>
      <c r="D7" s="40" t="n">
        <v>0</v>
      </c>
      <c r="E7" s="8" t="n">
        <f aca="false">IF(B7&gt;0,D7/B7,0)</f>
        <v>0</v>
      </c>
      <c r="F7" s="41"/>
    </row>
    <row r="8" customFormat="false" ht="15" hidden="false" customHeight="false" outlineLevel="0" collapsed="false">
      <c r="A8" s="39" t="s">
        <v>93</v>
      </c>
      <c r="B8" s="40" t="n">
        <v>15</v>
      </c>
      <c r="C8" s="39" t="s">
        <v>302</v>
      </c>
      <c r="D8" s="40" t="n">
        <v>0</v>
      </c>
      <c r="E8" s="8" t="n">
        <f aca="false">IF(B8&gt;0,D8/B8,0)</f>
        <v>0</v>
      </c>
      <c r="F8" s="41"/>
    </row>
    <row r="9" customFormat="false" ht="15" hidden="false" customHeight="false" outlineLevel="0" collapsed="false">
      <c r="A9" s="39" t="s">
        <v>303</v>
      </c>
      <c r="B9" s="40" t="n">
        <v>20</v>
      </c>
      <c r="C9" s="39" t="s">
        <v>304</v>
      </c>
      <c r="D9" s="40" t="n">
        <v>0</v>
      </c>
      <c r="E9" s="8" t="n">
        <f aca="false">IF(B9&gt;0,D9/B9,0)</f>
        <v>0</v>
      </c>
      <c r="F9" s="41"/>
    </row>
    <row r="10" customFormat="false" ht="15" hidden="false" customHeight="false" outlineLevel="0" collapsed="false">
      <c r="A10" s="39" t="s">
        <v>305</v>
      </c>
      <c r="B10" s="40" t="n">
        <v>20</v>
      </c>
      <c r="C10" s="39" t="s">
        <v>306</v>
      </c>
      <c r="D10" s="40" t="n">
        <v>0</v>
      </c>
      <c r="E10" s="8" t="n">
        <f aca="false">IF(B10&gt;0,D10/B10,0)</f>
        <v>0</v>
      </c>
      <c r="F10" s="41"/>
    </row>
    <row r="11" customFormat="false" ht="15" hidden="false" customHeight="false" outlineLevel="0" collapsed="false">
      <c r="A11" s="6" t="s">
        <v>307</v>
      </c>
      <c r="B11" s="42" t="n">
        <f aca="false">SUM(B2:B10)</f>
        <v>210</v>
      </c>
      <c r="C11" s="43"/>
      <c r="D11" s="42" t="n">
        <f aca="false">SUM(D2:D10)</f>
        <v>0</v>
      </c>
      <c r="E11" s="44" t="n">
        <f aca="false">IF(B11&gt;0,D11/B11,0)</f>
        <v>0</v>
      </c>
      <c r="F11" s="43"/>
    </row>
    <row r="13" customFormat="false" ht="15" hidden="false" customHeight="false" outlineLevel="0" collapsed="false">
      <c r="A13" s="2" t="s">
        <v>308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4"/>
    <col collapsed="false" customWidth="true" hidden="false" outlineLevel="0" max="3" min="3" style="0" width="48"/>
    <col collapsed="false" customWidth="true" hidden="false" outlineLevel="0" max="4" min="4" style="0" width="14"/>
    <col collapsed="false" customWidth="true" hidden="false" outlineLevel="0" max="5" min="5" style="0" width="20"/>
    <col collapsed="false" customWidth="true" hidden="false" outlineLevel="0" max="6" min="6" style="0" width="40"/>
  </cols>
  <sheetData>
    <row r="1" customFormat="false" ht="19.7" hidden="false" customHeight="false" outlineLevel="0" collapsed="false">
      <c r="A1" s="1" t="s">
        <v>309</v>
      </c>
    </row>
    <row r="3" customFormat="false" ht="15" hidden="false" customHeight="false" outlineLevel="0" collapsed="false">
      <c r="A3" s="3" t="s">
        <v>310</v>
      </c>
      <c r="B3" s="45" t="n">
        <v>75</v>
      </c>
      <c r="C3" s="2" t="s">
        <v>311</v>
      </c>
    </row>
    <row r="4" customFormat="false" ht="15" hidden="false" customHeight="false" outlineLevel="0" collapsed="false">
      <c r="A4" s="3" t="s">
        <v>312</v>
      </c>
      <c r="B4" s="45" t="n">
        <v>50</v>
      </c>
    </row>
    <row r="6" customFormat="false" ht="30" hidden="false" customHeight="true" outlineLevel="0" collapsed="false">
      <c r="A6" s="5" t="s">
        <v>313</v>
      </c>
      <c r="B6" s="5" t="s">
        <v>24</v>
      </c>
      <c r="C6" s="5" t="s">
        <v>314</v>
      </c>
      <c r="D6" s="5" t="s">
        <v>315</v>
      </c>
      <c r="E6" s="5" t="s">
        <v>117</v>
      </c>
      <c r="F6" s="5" t="s">
        <v>316</v>
      </c>
    </row>
    <row r="7" customFormat="false" ht="15" hidden="false" customHeight="false" outlineLevel="0" collapsed="false">
      <c r="A7" s="39" t="s">
        <v>317</v>
      </c>
      <c r="B7" s="46" t="n">
        <f aca="false">Overview!$B$4+6</f>
        <v>46306</v>
      </c>
      <c r="C7" s="39" t="s">
        <v>318</v>
      </c>
      <c r="D7" s="40"/>
      <c r="E7" s="47" t="str">
        <f aca="false">IF(D7="","",IF(D7&gt;=$B$3,"🟢 Strong",IF(D7&gt;=$B$4,"🟠 Needs revision","🔴 Weak")))</f>
        <v/>
      </c>
      <c r="F7" s="41"/>
    </row>
    <row r="8" customFormat="false" ht="15" hidden="false" customHeight="false" outlineLevel="0" collapsed="false">
      <c r="A8" s="39" t="s">
        <v>319</v>
      </c>
      <c r="B8" s="46" t="n">
        <f aca="false">Overview!$B$4+13</f>
        <v>46313</v>
      </c>
      <c r="C8" s="39" t="s">
        <v>320</v>
      </c>
      <c r="D8" s="40"/>
      <c r="E8" s="47" t="str">
        <f aca="false">IF(D8="","",IF(D8&gt;=$B$3,"🟢 Strong",IF(D8&gt;=$B$4,"🟠 Needs revision","🔴 Weak")))</f>
        <v/>
      </c>
      <c r="F8" s="41"/>
    </row>
    <row r="9" customFormat="false" ht="23.85" hidden="false" customHeight="false" outlineLevel="0" collapsed="false">
      <c r="A9" s="39" t="s">
        <v>321</v>
      </c>
      <c r="B9" s="46" t="n">
        <f aca="false">Overview!$B$4+20</f>
        <v>46320</v>
      </c>
      <c r="C9" s="39" t="s">
        <v>322</v>
      </c>
      <c r="D9" s="40"/>
      <c r="E9" s="47" t="str">
        <f aca="false">IF(D9="","",IF(D9&gt;=$B$3,"🟢 Strong",IF(D9&gt;=$B$4,"🟠 Needs revision","🔴 Weak")))</f>
        <v/>
      </c>
      <c r="F9" s="41"/>
    </row>
    <row r="10" customFormat="false" ht="15" hidden="false" customHeight="false" outlineLevel="0" collapsed="false">
      <c r="A10" s="39" t="s">
        <v>323</v>
      </c>
      <c r="B10" s="46" t="n">
        <f aca="false">Overview!$B$4+26</f>
        <v>46326</v>
      </c>
      <c r="C10" s="39" t="s">
        <v>324</v>
      </c>
      <c r="D10" s="40"/>
      <c r="E10" s="47" t="str">
        <f aca="false">IF(D10="","",IF(D10&gt;=$B$3,"🟢 Strong",IF(D10&gt;=$B$4,"🟠 Needs revision","🔴 Weak")))</f>
        <v/>
      </c>
      <c r="F10" s="41"/>
    </row>
    <row r="13" customFormat="false" ht="15" hidden="false" customHeight="false" outlineLevel="0" collapsed="false">
      <c r="A13" s="2" t="s">
        <v>325</v>
      </c>
    </row>
    <row r="15" customFormat="false" ht="15" hidden="false" customHeight="false" outlineLevel="0" collapsed="false">
      <c r="A15" s="48" t="s">
        <v>326</v>
      </c>
    </row>
    <row r="16" customFormat="false" ht="30" hidden="false" customHeight="true" outlineLevel="0" collapsed="false">
      <c r="A16" s="5" t="s">
        <v>288</v>
      </c>
      <c r="B16" s="5" t="s">
        <v>327</v>
      </c>
      <c r="C16" s="5"/>
      <c r="D16" s="5" t="s">
        <v>315</v>
      </c>
      <c r="E16" s="5" t="s">
        <v>117</v>
      </c>
      <c r="F16" s="5" t="s">
        <v>36</v>
      </c>
    </row>
    <row r="17" customFormat="false" ht="15" hidden="false" customHeight="false" outlineLevel="0" collapsed="false">
      <c r="A17" s="49" t="s">
        <v>328</v>
      </c>
      <c r="B17" s="39" t="s">
        <v>329</v>
      </c>
      <c r="C17" s="39"/>
      <c r="D17" s="40"/>
      <c r="E17" s="47" t="str">
        <f aca="false">IF(D17="","",IF(D17&gt;=$B$3,"🟢 Strong",IF(D17&gt;=$B$4,"🟠 Needs revision","🔴 Weak")))</f>
        <v/>
      </c>
      <c r="F17" s="41"/>
    </row>
    <row r="18" customFormat="false" ht="15" hidden="false" customHeight="false" outlineLevel="0" collapsed="false">
      <c r="A18" s="49" t="s">
        <v>37</v>
      </c>
      <c r="B18" s="39" t="s">
        <v>330</v>
      </c>
      <c r="C18" s="39"/>
      <c r="D18" s="40"/>
      <c r="E18" s="47" t="str">
        <f aca="false">IF(D18="","",IF(D18&gt;=$B$3,"🟢 Strong",IF(D18&gt;=$B$4,"🟠 Needs revision","🔴 Weak")))</f>
        <v/>
      </c>
      <c r="F18" s="41"/>
    </row>
    <row r="19" customFormat="false" ht="15" hidden="false" customHeight="false" outlineLevel="0" collapsed="false">
      <c r="A19" s="49" t="s">
        <v>294</v>
      </c>
      <c r="B19" s="39" t="s">
        <v>331</v>
      </c>
      <c r="C19" s="39"/>
      <c r="D19" s="40"/>
      <c r="E19" s="47" t="str">
        <f aca="false">IF(D19="","",IF(D19&gt;=$B$3,"🟢 Strong",IF(D19&gt;=$B$4,"🟠 Needs revision","🔴 Weak")))</f>
        <v/>
      </c>
      <c r="F19" s="41"/>
    </row>
    <row r="20" customFormat="false" ht="15" hidden="false" customHeight="false" outlineLevel="0" collapsed="false">
      <c r="A20" s="49" t="s">
        <v>296</v>
      </c>
      <c r="B20" s="39" t="s">
        <v>332</v>
      </c>
      <c r="C20" s="39"/>
      <c r="D20" s="40"/>
      <c r="E20" s="47" t="str">
        <f aca="false">IF(D20="","",IF(D20&gt;=$B$3,"🟢 Strong",IF(D20&gt;=$B$4,"🟠 Needs revision","🔴 Weak")))</f>
        <v/>
      </c>
      <c r="F20" s="41"/>
    </row>
    <row r="21" customFormat="false" ht="15" hidden="false" customHeight="false" outlineLevel="0" collapsed="false">
      <c r="A21" s="49" t="s">
        <v>298</v>
      </c>
      <c r="B21" s="39" t="s">
        <v>333</v>
      </c>
      <c r="C21" s="39"/>
      <c r="D21" s="40"/>
      <c r="E21" s="47" t="str">
        <f aca="false">IF(D21="","",IF(D21&gt;=$B$3,"🟢 Strong",IF(D21&gt;=$B$4,"🟠 Needs revision","🔴 Weak")))</f>
        <v/>
      </c>
      <c r="F21" s="41"/>
    </row>
    <row r="22" customFormat="false" ht="15" hidden="false" customHeight="false" outlineLevel="0" collapsed="false">
      <c r="A22" s="49" t="s">
        <v>82</v>
      </c>
      <c r="B22" s="39" t="s">
        <v>334</v>
      </c>
      <c r="C22" s="39"/>
      <c r="D22" s="40"/>
      <c r="E22" s="47" t="str">
        <f aca="false">IF(D22="","",IF(D22&gt;=$B$3,"🟢 Strong",IF(D22&gt;=$B$4,"🟠 Needs revision","🔴 Weak")))</f>
        <v/>
      </c>
      <c r="F22" s="41"/>
    </row>
    <row r="23" customFormat="false" ht="23.85" hidden="false" customHeight="false" outlineLevel="0" collapsed="false">
      <c r="A23" s="49" t="s">
        <v>88</v>
      </c>
      <c r="B23" s="39" t="s">
        <v>335</v>
      </c>
      <c r="C23" s="39"/>
      <c r="D23" s="40"/>
      <c r="E23" s="47" t="str">
        <f aca="false">IF(D23="","",IF(D23&gt;=$B$3,"🟢 Strong",IF(D23&gt;=$B$4,"🟠 Needs revision","🔴 Weak")))</f>
        <v/>
      </c>
      <c r="F23" s="41"/>
    </row>
    <row r="24" customFormat="false" ht="15" hidden="false" customHeight="false" outlineLevel="0" collapsed="false">
      <c r="A24" s="49" t="s">
        <v>303</v>
      </c>
      <c r="B24" s="39" t="s">
        <v>336</v>
      </c>
      <c r="C24" s="39"/>
      <c r="D24" s="40"/>
      <c r="E24" s="47" t="str">
        <f aca="false">IF(D24="","",IF(D24&gt;=$B$3,"🟢 Strong",IF(D24&gt;=$B$4,"🟠 Needs revision","🔴 Weak")))</f>
        <v/>
      </c>
      <c r="F24" s="41"/>
    </row>
    <row r="25" customFormat="false" ht="15" hidden="false" customHeight="false" outlineLevel="0" collapsed="false">
      <c r="A25" s="49" t="s">
        <v>305</v>
      </c>
      <c r="B25" s="39" t="s">
        <v>337</v>
      </c>
      <c r="C25" s="39"/>
      <c r="D25" s="40"/>
      <c r="E25" s="47" t="str">
        <f aca="false">IF(D25="","",IF(D25&gt;=$B$3,"🟢 Strong",IF(D25&gt;=$B$4,"🟠 Needs revision","🔴 Weak")))</f>
        <v/>
      </c>
      <c r="F25" s="41"/>
    </row>
    <row r="27" customFormat="false" ht="15" hidden="false" customHeight="false" outlineLevel="0" collapsed="false">
      <c r="A27" s="3" t="s">
        <v>338</v>
      </c>
      <c r="D27" s="50" t="str">
        <f aca="false">IF(COUNT(D17:D25)=0,"",AVERAGE(D17:D25))</f>
        <v/>
      </c>
    </row>
    <row r="28" customFormat="false" ht="15" hidden="false" customHeight="false" outlineLevel="0" collapsed="false">
      <c r="A28" s="2" t="s">
        <v>339</v>
      </c>
    </row>
  </sheetData>
  <conditionalFormatting sqref="E7:E10">
    <cfRule type="expression" priority="2" aboveAverage="0" equalAverage="0" bottom="0" percent="0" rank="0" text="" dxfId="8">
      <formula>ISNUMBER(SEARCH("Strong",E7))</formula>
    </cfRule>
    <cfRule type="expression" priority="3" aboveAverage="0" equalAverage="0" bottom="0" percent="0" rank="0" text="" dxfId="9">
      <formula>ISNUMBER(SEARCH("Needs",E7))</formula>
    </cfRule>
    <cfRule type="expression" priority="4" aboveAverage="0" equalAverage="0" bottom="0" percent="0" rank="0" text="" dxfId="10">
      <formula>ISNUMBER(SEARCH("Weak",E7))</formula>
    </cfRule>
  </conditionalFormatting>
  <conditionalFormatting sqref="E17:E25">
    <cfRule type="expression" priority="5" aboveAverage="0" equalAverage="0" bottom="0" percent="0" rank="0" text="" dxfId="8">
      <formula>ISNUMBER(SEARCH("Strong",E17))</formula>
    </cfRule>
    <cfRule type="expression" priority="6" aboveAverage="0" equalAverage="0" bottom="0" percent="0" rank="0" text="" dxfId="9">
      <formula>ISNUMBER(SEARCH("Needs",E17))</formula>
    </cfRule>
    <cfRule type="expression" priority="7" aboveAverage="0" equalAverage="0" bottom="0" percent="0" rank="0" text="" dxfId="10">
      <formula>ISNUMBER(SEARCH("Weak",E17))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6"/>
    <col collapsed="false" customWidth="true" hidden="false" outlineLevel="0" max="3" min="3" style="0" width="40"/>
    <col collapsed="false" customWidth="true" hidden="false" outlineLevel="0" max="4" min="4" style="0" width="52"/>
  </cols>
  <sheetData>
    <row r="1" customFormat="false" ht="19.7" hidden="false" customHeight="false" outlineLevel="0" collapsed="false">
      <c r="A1" s="1" t="s">
        <v>340</v>
      </c>
    </row>
    <row r="3" customFormat="false" ht="30" hidden="false" customHeight="true" outlineLevel="0" collapsed="false">
      <c r="A3" s="5" t="s">
        <v>26</v>
      </c>
      <c r="B3" s="5" t="s">
        <v>341</v>
      </c>
      <c r="C3" s="5" t="s">
        <v>27</v>
      </c>
      <c r="D3" s="5" t="s">
        <v>342</v>
      </c>
    </row>
    <row r="4" customFormat="false" ht="15" hidden="false" customHeight="false" outlineLevel="0" collapsed="false">
      <c r="A4" s="39" t="s">
        <v>343</v>
      </c>
      <c r="B4" s="39" t="s">
        <v>344</v>
      </c>
      <c r="C4" s="39" t="s">
        <v>37</v>
      </c>
      <c r="D4" s="39" t="s">
        <v>345</v>
      </c>
    </row>
    <row r="5" customFormat="false" ht="15" hidden="false" customHeight="false" outlineLevel="0" collapsed="false">
      <c r="A5" s="39" t="s">
        <v>346</v>
      </c>
      <c r="B5" s="39" t="s">
        <v>347</v>
      </c>
      <c r="C5" s="39" t="s">
        <v>57</v>
      </c>
      <c r="D5" s="39" t="s">
        <v>348</v>
      </c>
    </row>
    <row r="6" customFormat="false" ht="15" hidden="false" customHeight="false" outlineLevel="0" collapsed="false">
      <c r="A6" s="39" t="s">
        <v>349</v>
      </c>
      <c r="B6" s="39" t="s">
        <v>350</v>
      </c>
      <c r="C6" s="39" t="s">
        <v>351</v>
      </c>
      <c r="D6" s="39" t="s">
        <v>352</v>
      </c>
    </row>
    <row r="7" customFormat="false" ht="15" hidden="false" customHeight="false" outlineLevel="0" collapsed="false">
      <c r="A7" s="39" t="s">
        <v>353</v>
      </c>
      <c r="B7" s="39" t="s">
        <v>354</v>
      </c>
      <c r="C7" s="39" t="s">
        <v>355</v>
      </c>
      <c r="D7" s="39" t="s">
        <v>356</v>
      </c>
    </row>
    <row r="9" customFormat="false" ht="30" hidden="false" customHeight="true" outlineLevel="0" collapsed="false">
      <c r="A9" s="5" t="s">
        <v>357</v>
      </c>
      <c r="B9" s="5" t="s">
        <v>358</v>
      </c>
      <c r="C9" s="5"/>
      <c r="D9" s="5"/>
    </row>
    <row r="10" customFormat="false" ht="15" hidden="false" customHeight="false" outlineLevel="0" collapsed="false">
      <c r="A10" s="9" t="s">
        <v>359</v>
      </c>
      <c r="B10" s="9" t="s">
        <v>360</v>
      </c>
    </row>
    <row r="11" customFormat="false" ht="15" hidden="false" customHeight="false" outlineLevel="0" collapsed="false">
      <c r="A11" s="9" t="s">
        <v>361</v>
      </c>
      <c r="B11" s="9" t="s">
        <v>360</v>
      </c>
    </row>
    <row r="12" customFormat="false" ht="15" hidden="false" customHeight="false" outlineLevel="0" collapsed="false">
      <c r="A12" s="9" t="s">
        <v>29</v>
      </c>
      <c r="B12" s="9" t="s">
        <v>362</v>
      </c>
    </row>
    <row r="13" customFormat="false" ht="15" hidden="false" customHeight="false" outlineLevel="0" collapsed="false">
      <c r="A13" s="9" t="s">
        <v>363</v>
      </c>
      <c r="B13" s="9" t="s">
        <v>364</v>
      </c>
    </row>
    <row r="14" customFormat="false" ht="15" hidden="false" customHeight="false" outlineLevel="0" collapsed="false">
      <c r="A14" s="2" t="s">
        <v>365</v>
      </c>
    </row>
    <row r="16" customFormat="false" ht="30" hidden="false" customHeight="true" outlineLevel="0" collapsed="false">
      <c r="A16" s="5" t="s">
        <v>366</v>
      </c>
      <c r="B16" s="5"/>
      <c r="C16" s="5"/>
      <c r="D16" s="5"/>
    </row>
    <row r="17" customFormat="false" ht="30" hidden="false" customHeight="true" outlineLevel="0" collapsed="false">
      <c r="A17" s="51" t="s">
        <v>367</v>
      </c>
      <c r="B17" s="51"/>
      <c r="C17" s="51"/>
      <c r="D17" s="51"/>
    </row>
    <row r="18" customFormat="false" ht="30" hidden="false" customHeight="true" outlineLevel="0" collapsed="false">
      <c r="A18" s="51" t="s">
        <v>368</v>
      </c>
      <c r="B18" s="51"/>
      <c r="C18" s="51"/>
      <c r="D18" s="51"/>
    </row>
    <row r="19" customFormat="false" ht="30" hidden="false" customHeight="true" outlineLevel="0" collapsed="false">
      <c r="A19" s="51" t="s">
        <v>369</v>
      </c>
      <c r="B19" s="51"/>
      <c r="C19" s="51"/>
      <c r="D19" s="51"/>
    </row>
    <row r="20" customFormat="false" ht="30" hidden="false" customHeight="true" outlineLevel="0" collapsed="false">
      <c r="A20" s="51" t="s">
        <v>370</v>
      </c>
      <c r="B20" s="51"/>
      <c r="C20" s="51"/>
      <c r="D20" s="51"/>
    </row>
    <row r="21" customFormat="false" ht="30" hidden="false" customHeight="true" outlineLevel="0" collapsed="false">
      <c r="A21" s="51" t="s">
        <v>371</v>
      </c>
      <c r="B21" s="51"/>
      <c r="C21" s="51"/>
      <c r="D21" s="51"/>
    </row>
    <row r="22" customFormat="false" ht="30" hidden="false" customHeight="true" outlineLevel="0" collapsed="false">
      <c r="A22" s="51" t="s">
        <v>372</v>
      </c>
      <c r="B22" s="51"/>
      <c r="C22" s="51"/>
      <c r="D22" s="51"/>
    </row>
    <row r="23" customFormat="false" ht="30" hidden="false" customHeight="true" outlineLevel="0" collapsed="false">
      <c r="A23" s="51" t="s">
        <v>373</v>
      </c>
      <c r="B23" s="51"/>
      <c r="C23" s="51"/>
      <c r="D23" s="51"/>
    </row>
  </sheetData>
  <mergeCells count="7">
    <mergeCell ref="A17:D17"/>
    <mergeCell ref="A18:D18"/>
    <mergeCell ref="A19:D19"/>
    <mergeCell ref="A20:D20"/>
    <mergeCell ref="A21:D21"/>
    <mergeCell ref="A22:D22"/>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2026-10-05T05:22:49Z</dcterms:created>
  <dc:creator>openpyxl</dc:creator>
  <dc:description/>
  <dc:language>en-US</dc:language>
  <cp:lastModifiedBy/>
  <dcterms:modified xsi:type="dcterms:W3CDTF">2026-10-05T05:22:50Z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